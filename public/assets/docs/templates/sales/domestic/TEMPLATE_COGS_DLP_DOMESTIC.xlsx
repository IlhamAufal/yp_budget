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3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<sst xmlns="http://schemas.openxmlformats.org/spreadsheetml/2006/main" count="427">
  <si>
    <t>VOLUME (kg)</t>
  </si>
  <si>
    <t>GUNUNG PUTRI  (kg)</t>
  </si>
  <si>
    <t>SAMOLO (kg)</t>
  </si>
  <si>
    <t>KARANGANYAR  (kg)</t>
  </si>
  <si>
    <t>CHANNEL</t>
  </si>
  <si>
    <t>NPN</t>
  </si>
  <si>
    <t>PRODUCT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</si>
  <si>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</si>
  <si>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</si>
  <si>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</si>
  <si>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</si>
  <si>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</si>
  <si>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</si>
  <si>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</si>
  <si>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</si>
  <si>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</si>
  <si>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</si>
  <si>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</si>
  <si>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</si>
  <si>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VOL</t>
  </si>
  <si>
    <t>TOTAL GP</t>
  </si>
  <si>
    <t>TOTAL SAMOLO</t>
  </si>
  <si>
    <t>TOTAL KRG</t>
  </si>
  <si>
    <t>DOMESTIC</t>
  </si>
  <si>
    <t>F1011179</t>
  </si>
  <si>
    <t>LITTLE STAR BULK 4 BAG @ 2000 G - 2.5g</t>
  </si>
  <si>
    <t>F1011210</t>
  </si>
  <si>
    <t xml:space="preserve">BABY BEAR W/ GUAVA FLAV @ 1 G NON IWP BULK 2000 G </t>
  </si>
  <si>
    <t>F1011247</t>
  </si>
  <si>
    <t>MARVEL ASSORTED FRUITY GUMMY @ 1.0 G BULK 2000 G</t>
  </si>
  <si>
    <t>F2011207</t>
  </si>
  <si>
    <t>Baby Bears bag</t>
  </si>
  <si>
    <t>F2011295</t>
  </si>
  <si>
    <t>Happy Bears</t>
  </si>
  <si>
    <t>F2011296</t>
  </si>
  <si>
    <t>Gummy CDZ</t>
  </si>
  <si>
    <t>F2011297</t>
  </si>
  <si>
    <t>Calci Bean DB</t>
  </si>
  <si>
    <t>F2011300</t>
  </si>
  <si>
    <t>Exotic Mango DB</t>
  </si>
  <si>
    <t>F2011301</t>
  </si>
  <si>
    <t>Little Stars</t>
  </si>
  <si>
    <t>F2011302</t>
  </si>
  <si>
    <t>Fruity Cola DB</t>
  </si>
  <si>
    <t>F2011303</t>
  </si>
  <si>
    <t>Baby Bears DB</t>
  </si>
  <si>
    <t>F2011329</t>
  </si>
  <si>
    <t>Vegasaurus</t>
  </si>
  <si>
    <t>F2011333</t>
  </si>
  <si>
    <t>BABY BEARS (24) 110 G + FREE BIN &amp; BEN 70 G</t>
  </si>
  <si>
    <t>F2013132</t>
  </si>
  <si>
    <t>VIDORAN GUMMY MULTIVITAMIN D.BOX (24X3) SACHET @ 1</t>
  </si>
  <si>
    <t>F2013135</t>
  </si>
  <si>
    <t>VIDORAN GUMMY VIT. C D.BOX (24X3) SACHET @ 18 G</t>
  </si>
  <si>
    <t>F2013139</t>
  </si>
  <si>
    <t>TJ JOYBEE GUMMY 12X5X21 G</t>
  </si>
  <si>
    <t>F2013168</t>
  </si>
  <si>
    <t>Just For Fun Assorted</t>
  </si>
  <si>
    <t>F2021109</t>
  </si>
  <si>
    <t>Alfamart Assorted Fruit Gummy</t>
  </si>
  <si>
    <t>F2021123</t>
  </si>
  <si>
    <t>Strawberry Kiss  mini bag</t>
  </si>
  <si>
    <t>F2021124</t>
  </si>
  <si>
    <t>Baby Bears  mini bag</t>
  </si>
  <si>
    <t>F2021128</t>
  </si>
  <si>
    <t>Milly Moos  mini bag</t>
  </si>
  <si>
    <t>F2021129</t>
  </si>
  <si>
    <t>Apple Rings mini bag</t>
  </si>
  <si>
    <t>F2021132</t>
  </si>
  <si>
    <t>Neon Stix  mini bag</t>
  </si>
  <si>
    <t>F2021133</t>
  </si>
  <si>
    <t>Fun Gum  mini bag</t>
  </si>
  <si>
    <t>F2021139</t>
  </si>
  <si>
    <t>Peach Rings</t>
  </si>
  <si>
    <t>F2021141</t>
  </si>
  <si>
    <t>Wild Safari Mini Bag</t>
  </si>
  <si>
    <t>F2021143</t>
  </si>
  <si>
    <t>Fruit Bites 40g</t>
  </si>
  <si>
    <t>F2021147</t>
  </si>
  <si>
    <t>Sour O'Ringo  mini bag</t>
  </si>
  <si>
    <t>F2021152</t>
  </si>
  <si>
    <t>Yogurt Gummy 40g</t>
  </si>
  <si>
    <t>F2021154</t>
  </si>
  <si>
    <t>Iced Cola Mini Bag</t>
  </si>
  <si>
    <t>F2021169</t>
  </si>
  <si>
    <t>Choco Glee Mini Bag</t>
  </si>
  <si>
    <t>F2021174</t>
  </si>
  <si>
    <t>Party Mix Horizontal</t>
  </si>
  <si>
    <t>F2021181</t>
  </si>
  <si>
    <t>Gummy CDZ Mini Bag</t>
  </si>
  <si>
    <t>F2021182</t>
  </si>
  <si>
    <t>Disney Tsum Tsum Juicy Fruity Gummies</t>
  </si>
  <si>
    <t>F2021183</t>
  </si>
  <si>
    <t>Little Stars MB</t>
  </si>
  <si>
    <t>F2021184</t>
  </si>
  <si>
    <t>Exotic Mango mini bag</t>
  </si>
  <si>
    <t>F2023067</t>
  </si>
  <si>
    <t xml:space="preserve">YOUVIT GUMMY VITAMIN &amp; HERB KIDS w/ Curcuma 7D DB </t>
  </si>
  <si>
    <t>F2023068</t>
  </si>
  <si>
    <t>WONHAE YOGURT GUMMY 12 MBAG x 6 SACHET @ 48 G</t>
  </si>
  <si>
    <t>F2023070</t>
  </si>
  <si>
    <t>Strawberry Manggo Indomaret</t>
  </si>
  <si>
    <t>F2023071</t>
  </si>
  <si>
    <t>Puzzle Gummy Indomaret</t>
  </si>
  <si>
    <t>F2031089</t>
  </si>
  <si>
    <t>Fruit Bites 80g</t>
  </si>
  <si>
    <t>F2031090</t>
  </si>
  <si>
    <t>Love Gummy</t>
  </si>
  <si>
    <t>F2031094</t>
  </si>
  <si>
    <t>Yogurt Gummy 80g</t>
  </si>
  <si>
    <t>F2031095</t>
  </si>
  <si>
    <t>Iced Cola 80 g</t>
  </si>
  <si>
    <t>F2041145</t>
  </si>
  <si>
    <t>Strawberry Kiss MT</t>
  </si>
  <si>
    <t>F2041147</t>
  </si>
  <si>
    <t>Strawberry Kiss Jar</t>
  </si>
  <si>
    <t>F2041151</t>
  </si>
  <si>
    <t>Fruity Puff bag</t>
  </si>
  <si>
    <t>F2041168</t>
  </si>
  <si>
    <t>Strawberry Kiss bag</t>
  </si>
  <si>
    <t>F2041173</t>
  </si>
  <si>
    <t>Calci Bean bottle</t>
  </si>
  <si>
    <t>F2041197</t>
  </si>
  <si>
    <t>Big Cola</t>
  </si>
  <si>
    <t>F2041242</t>
  </si>
  <si>
    <t>Bin &amp; Ben</t>
  </si>
  <si>
    <t>F2041253</t>
  </si>
  <si>
    <t>Apple Rings bag</t>
  </si>
  <si>
    <t>F2041255</t>
  </si>
  <si>
    <t>Milly Moos bag</t>
  </si>
  <si>
    <t>F2041256</t>
  </si>
  <si>
    <t>Fun Gum bag</t>
  </si>
  <si>
    <t>F2041257</t>
  </si>
  <si>
    <t>Neon Stix bag</t>
  </si>
  <si>
    <t>F2041269</t>
  </si>
  <si>
    <t>Triplet Heroes</t>
  </si>
  <si>
    <t>F2041274</t>
  </si>
  <si>
    <t>Mango Kiss bag</t>
  </si>
  <si>
    <t>F2041283</t>
  </si>
  <si>
    <t>ORANGE SLICES BOX</t>
  </si>
  <si>
    <t>F2041293</t>
  </si>
  <si>
    <t>Mango Kiss Bag MT</t>
  </si>
  <si>
    <t>F2041296</t>
  </si>
  <si>
    <t>Strawberry Kiss Jar Festive</t>
  </si>
  <si>
    <t>F2041300</t>
  </si>
  <si>
    <t>MANGO A GO GO</t>
  </si>
  <si>
    <t>F2041307</t>
  </si>
  <si>
    <t>ORANGE SLICES JAR 200G</t>
  </si>
  <si>
    <t>F2041308</t>
  </si>
  <si>
    <t>ORANGE SLICES JAR 504G</t>
  </si>
  <si>
    <t>F2041319</t>
  </si>
  <si>
    <t>Choco Glee D.Box</t>
  </si>
  <si>
    <t>F2041320</t>
  </si>
  <si>
    <t>Cookies</t>
  </si>
  <si>
    <t>F2041321</t>
  </si>
  <si>
    <t>Chibi Gummy</t>
  </si>
  <si>
    <t>F2041323</t>
  </si>
  <si>
    <t>Milly Moos DB</t>
  </si>
  <si>
    <t>F2041324</t>
  </si>
  <si>
    <t>Ice Cream Cone DB</t>
  </si>
  <si>
    <t>F2041326</t>
  </si>
  <si>
    <t>Beat Me</t>
  </si>
  <si>
    <t>F2041329</t>
  </si>
  <si>
    <t>STRAWBERRY KISS @ 2.5 G (24) 110 G + FREE BIN &amp; BE</t>
  </si>
  <si>
    <t>F2041330</t>
  </si>
  <si>
    <t>MANGO KISS @ 3 G (24) 123 G + FREE BIN &amp; BEN 70 G</t>
  </si>
  <si>
    <t>F2041331</t>
  </si>
  <si>
    <t xml:space="preserve">MILLY MOOS @ 5.5 G (24) 108 G + FREE BIN &amp; BEN 70 </t>
  </si>
  <si>
    <t>F2041333</t>
  </si>
  <si>
    <t>NEON STIX @ 5 G (24) 110 G + FREE BIN &amp; BEN 70 G</t>
  </si>
  <si>
    <t>F2041334</t>
  </si>
  <si>
    <t>FUN GUM (24) 110 G + FREE BIN &amp; BEN 70 G</t>
  </si>
  <si>
    <t>F2043061</t>
  </si>
  <si>
    <t>YOU VIT GUMMY OMEGA KIDS 2.0 @ 4 G (7 DAY) D.BOX (</t>
  </si>
  <si>
    <t>F2043062</t>
  </si>
  <si>
    <t>YOU VIT GUMMY OMEGA KIDS 2.0 (30 DAY) POUCH (12X30</t>
  </si>
  <si>
    <t>F2043063</t>
  </si>
  <si>
    <t>YOU VIT GUMMY OMEGA KIDS 2.0 BAG (3X250) @ 4 G</t>
  </si>
  <si>
    <t>F2043072</t>
  </si>
  <si>
    <t>YOUVIT GUMMY COLLAGEN 2.0 (15D) POUCH (12X30) @ 4.</t>
  </si>
  <si>
    <t>F2043083</t>
  </si>
  <si>
    <t>YOU VIT GUMMY MULTIVITAMIN ADULT 2.0  (30 DAY) POU</t>
  </si>
  <si>
    <t>F2043085</t>
  </si>
  <si>
    <t>YOUVIT GUMMY MULTIVITAMIN KIDS 2.0 (30 DAY) 12 POU</t>
  </si>
  <si>
    <t>F2043088</t>
  </si>
  <si>
    <t>YOU VIT GUMMY OMEGA KIDS 2.0 (7D) DB (6X6) 28 G MY</t>
  </si>
  <si>
    <t>F2043093</t>
  </si>
  <si>
    <t>YOUVIT GUMMY MULTIVITAMIN ADULT 2.0 (7 DAY) DB (6x</t>
  </si>
  <si>
    <t>F2043094</t>
  </si>
  <si>
    <t>YOUVIT GUMMY MULTIVITAMIN ADULT 2.0 (30 DAY) POUCH</t>
  </si>
  <si>
    <t>F2043095</t>
  </si>
  <si>
    <t xml:space="preserve">YOUVIT GUMMY MULTIVITAMIN ADULT 2.0 BAG (3x250) @ </t>
  </si>
  <si>
    <t>F2043096</t>
  </si>
  <si>
    <t>YOUVIT GUMMY MULTIVITAMIN KIDS 2.0 (7 DAY) DB (6x6</t>
  </si>
  <si>
    <t>F2043097</t>
  </si>
  <si>
    <t xml:space="preserve">YOUVIT GUMMY MULTIVITAMIN KIDS 2.0 (30 DAY) Pouch </t>
  </si>
  <si>
    <t>F2043098</t>
  </si>
  <si>
    <t>YOUVIT GUMMY MULTIVITAMIN KIDS 2.0 BAG (3x250) @ 4</t>
  </si>
  <si>
    <t>F2043099</t>
  </si>
  <si>
    <t>F2043100</t>
  </si>
  <si>
    <t>F2043105</t>
  </si>
  <si>
    <t xml:space="preserve">YOU VIT GUMMY BEAUTI + 2.0 @ 4 G (7 DAY) DB (6X6) </t>
  </si>
  <si>
    <t>F2043106</t>
  </si>
  <si>
    <t xml:space="preserve">YOU VIT GUMMY BEAUTI + 2.0 (30 DAY) POUCH (12X30) </t>
  </si>
  <si>
    <t>F2043107</t>
  </si>
  <si>
    <t>YOU VIT GUMMY BEAUTI+ 2.0 BAG (3X250) @ 4 G</t>
  </si>
  <si>
    <t>F2043115</t>
  </si>
  <si>
    <t>YOUVIT GUMMY ACNO @ 4 G (7 DAY) D.BOX (6X6) 28 G</t>
  </si>
  <si>
    <t>F2043116</t>
  </si>
  <si>
    <t>YOU VIT GUMMY ACNO (30 DAY) POUCH (12X30) @ 4 G</t>
  </si>
  <si>
    <t>F2043117</t>
  </si>
  <si>
    <t>YOU VIT GUMMY ACNO BAG (3X250) @ 4 G</t>
  </si>
  <si>
    <t>F2043120</t>
  </si>
  <si>
    <t>INACO MINI GUMMIES D.BOX (4X12) @ 15 G</t>
  </si>
  <si>
    <t>F2043121</t>
  </si>
  <si>
    <t xml:space="preserve">YOU VIT GUMMY BEAUTI + 2.0 @ 4 G (7D) DB (6X6) 28 </t>
  </si>
  <si>
    <t>F2043122</t>
  </si>
  <si>
    <t>YOU VIT GUMMY BEAUTI + 2.0 (30D) POUCH (12X30) @ 4</t>
  </si>
  <si>
    <t>F2043123</t>
  </si>
  <si>
    <t>YOU VIT GUMMY OMEGA KIDS 2.0 (30D) POUCH (12X30) @</t>
  </si>
  <si>
    <t>F2043124</t>
  </si>
  <si>
    <t>YOUVIT GUMMY COLLAGEN 2.0 (7D) POUCH (20X14) @ 4.2</t>
  </si>
  <si>
    <t>F2043125</t>
  </si>
  <si>
    <t>YOUVIT GUMMY COLLAGEN 2.0 (30D) POUCH (8X60) @ 4.2</t>
  </si>
  <si>
    <t>F2043126</t>
  </si>
  <si>
    <t>YOUVIT GUMMY COLLAGEN 2.0 BAG (3X250) @ 4.2 G</t>
  </si>
  <si>
    <t>F2043127</t>
  </si>
  <si>
    <t>F2043129</t>
  </si>
  <si>
    <t>INACO FROZEN MIX @ 2.4 G (12) 100 G</t>
  </si>
  <si>
    <t>F2043130</t>
  </si>
  <si>
    <t xml:space="preserve">YOU VIT GUMMY ACNO @ 4 G (7 DAY) D.BOX (6X6) 28 G </t>
  </si>
  <si>
    <t>F2043131</t>
  </si>
  <si>
    <t>YOU VIT GUMMY ACNO (30 DAY) POUCH (12X30) @ 4 G MY</t>
  </si>
  <si>
    <t>F2043137</t>
  </si>
  <si>
    <t>YOU VIT GUMMY APPLE CIDER VINEGAR (7D) POUCH (20X1</t>
  </si>
  <si>
    <t>F2043139</t>
  </si>
  <si>
    <t xml:space="preserve">YOU VIT GUMMY APPLE CIDER VINEGAR BAG (3X200) @ 5 </t>
  </si>
  <si>
    <t>F2043144</t>
  </si>
  <si>
    <t>EXPERT BOOST VITAMIN D POUCH (20X30) @ 4 G</t>
  </si>
  <si>
    <t>F2043145</t>
  </si>
  <si>
    <t>F2043146</t>
  </si>
  <si>
    <t>F2043147</t>
  </si>
  <si>
    <t>YOU VIT GUMMY ACNO (30 DAY) POUCH (12X30) @ 4 G SG</t>
  </si>
  <si>
    <t>F2043148</t>
  </si>
  <si>
    <t>F2043149</t>
  </si>
  <si>
    <t>F2043150</t>
  </si>
  <si>
    <t>F2043152</t>
  </si>
  <si>
    <t>F2043153</t>
  </si>
  <si>
    <t>F2043154</t>
  </si>
  <si>
    <t>F2043155</t>
  </si>
  <si>
    <t>YOU VIT GUMMY ACNO (30 DAY) POUCH (12X30) @ 4 G TH</t>
  </si>
  <si>
    <t>F2043160</t>
  </si>
  <si>
    <t>F2043161</t>
  </si>
  <si>
    <t>YOUVIT GUMMY EZZLEEP @ 4 G (7D) D.BOX (6x6) 28 G</t>
  </si>
  <si>
    <t>F2043163</t>
  </si>
  <si>
    <t>YOUVIT GUMMY EZZLEEP BAG (3X250) @ 4 G</t>
  </si>
  <si>
    <t>F2043166</t>
  </si>
  <si>
    <t>YOUVIT GUMMY A+ VISION @ 4 G (7D) D.BOX (6X6) 28 G</t>
  </si>
  <si>
    <t>F2043168</t>
  </si>
  <si>
    <t>YOUVIT GUMMY A+ VISION BAG (3X250) @ 4 G</t>
  </si>
  <si>
    <t>F2043169</t>
  </si>
  <si>
    <t>YOUVIT GUMMY COLLAGEN 2.0 @ 4.2 G (3D) D.BOX (6X6)</t>
  </si>
  <si>
    <t>F2043170</t>
  </si>
  <si>
    <t>F2043171</t>
  </si>
  <si>
    <t xml:space="preserve">YOUVIT GUMMIES WITH LUTEIN @ 4 G (7D) D.BOX (6X6) </t>
  </si>
  <si>
    <t>F2043175</t>
  </si>
  <si>
    <t>F2043177</t>
  </si>
  <si>
    <t>YOUVIT GUMMY EZZLEEP @ 4 G (7D) D.BOX (6x6) 28 G M</t>
  </si>
  <si>
    <t>F2043182</t>
  </si>
  <si>
    <t>ORANGE SLICES INDOMARET</t>
  </si>
  <si>
    <t>F2043183</t>
  </si>
  <si>
    <t>EXPERT BOOST VITAMIN D SACHET (6X8) 28 G</t>
  </si>
  <si>
    <t>F2043185</t>
  </si>
  <si>
    <t>YOUVIT GUMMY VIT.D+ UGROO KIDS (30D) POUCH (12X30)</t>
  </si>
  <si>
    <t>F2043187</t>
  </si>
  <si>
    <t>NATUR- E COLLA BITES @ 4 G D.BOX (6X8) 32 G</t>
  </si>
  <si>
    <t>F2043188</t>
  </si>
  <si>
    <t>Just For Fun Crazy Farm</t>
  </si>
  <si>
    <t>F2043189</t>
  </si>
  <si>
    <t>EXPERT BOOST VITKIDS POUCH (20X30) @ 4 G</t>
  </si>
  <si>
    <t>F2043191</t>
  </si>
  <si>
    <t>YOUVIT GUMMY APPLE CIDER VINEGAR (15D) POUCH(12X30</t>
  </si>
  <si>
    <t>F2043192</t>
  </si>
  <si>
    <t>VICEE TROPICAL TANGO GUMMY @ 3 G D.BOX (24X5) 18 G</t>
  </si>
  <si>
    <t>F2043193</t>
  </si>
  <si>
    <t>VICEE FUN BERRIES GUMMY @ 3 G D.BOX (24X5) 18 G</t>
  </si>
  <si>
    <t>F3011386</t>
  </si>
  <si>
    <t>Big Burger</t>
  </si>
  <si>
    <t>F3011480</t>
  </si>
  <si>
    <t>Burger bag</t>
  </si>
  <si>
    <t>F3011654</t>
  </si>
  <si>
    <t>Love Burger</t>
  </si>
  <si>
    <t>F3011655</t>
  </si>
  <si>
    <t>Burger Max</t>
  </si>
  <si>
    <t>F3011713</t>
  </si>
  <si>
    <t>BURGER (24) 105 G + FREE BIN &amp; BEN 70 G</t>
  </si>
  <si>
    <t>F3021149</t>
  </si>
  <si>
    <t>Big Frank</t>
  </si>
  <si>
    <t>F3031041</t>
  </si>
  <si>
    <t>Fangs</t>
  </si>
  <si>
    <t>F3081019</t>
  </si>
  <si>
    <t>Roletto Rp 1000</t>
  </si>
  <si>
    <t>F3111002</t>
  </si>
  <si>
    <t>Dip it Dip</t>
  </si>
  <si>
    <t>F3131042</t>
  </si>
  <si>
    <t>Waffle Sandwich</t>
  </si>
  <si>
    <t>F4011033</t>
  </si>
  <si>
    <t>Jungle Fun</t>
  </si>
  <si>
    <t>F4021027</t>
  </si>
  <si>
    <t>Dino Land</t>
  </si>
  <si>
    <t>F4031032</t>
  </si>
  <si>
    <t>Sea World</t>
  </si>
  <si>
    <t>F5011272</t>
  </si>
  <si>
    <t>Mini Pizza</t>
  </si>
  <si>
    <t>F5011273</t>
  </si>
  <si>
    <t>Mini Sweet Heart</t>
  </si>
  <si>
    <t>F5011274</t>
  </si>
  <si>
    <t>Mini Aquarium New</t>
  </si>
  <si>
    <t>F5011275</t>
  </si>
  <si>
    <t>Mini F.Cocktails</t>
  </si>
  <si>
    <t>F5011316</t>
  </si>
  <si>
    <t>Pizza 2000</t>
  </si>
  <si>
    <t>F5021069</t>
  </si>
  <si>
    <t>Fruit Cocktails 24g</t>
  </si>
  <si>
    <t>F5021070</t>
  </si>
  <si>
    <t>Pizza 23g</t>
  </si>
  <si>
    <t>F6011063</t>
  </si>
  <si>
    <t>Gummy Lunch</t>
  </si>
  <si>
    <t>F6011064</t>
  </si>
  <si>
    <t>Breakfast</t>
  </si>
  <si>
    <t>F6011086</t>
  </si>
  <si>
    <t>Sweet Artifact</t>
  </si>
  <si>
    <t>F6011116</t>
  </si>
  <si>
    <t>GUMMY LUNCH (24) 93 G + FREE BIN &amp; BEN 70 G</t>
  </si>
  <si>
    <t>F6011117</t>
  </si>
  <si>
    <t>BREAKFAST (24) 92 G + FREE BIN &amp; BEN 70 G</t>
  </si>
  <si>
    <t>F6061026</t>
  </si>
  <si>
    <t>Paket Idul Fitri 2024/2025</t>
  </si>
  <si>
    <t>FYB2020001</t>
  </si>
  <si>
    <t>Bolicious White Grape Pouch</t>
  </si>
  <si>
    <t>FYB2020006</t>
  </si>
  <si>
    <t>Bolicious Mango Pouch</t>
  </si>
  <si>
    <t>FYB2020007</t>
  </si>
  <si>
    <t>Bolicious Strawberry Pouch</t>
  </si>
  <si>
    <t>FYB2020008</t>
  </si>
  <si>
    <t>Bolicious Blackberry Pouch</t>
  </si>
  <si>
    <t>FYB2020009</t>
  </si>
  <si>
    <t>Bolicious Lychee Pouch</t>
  </si>
  <si>
    <t>FYB2040024</t>
  </si>
  <si>
    <t>Bolicious Blackberry</t>
  </si>
  <si>
    <t>FYB2040025</t>
  </si>
  <si>
    <t>Bolicious Strawberry</t>
  </si>
  <si>
    <t>FYB2040026</t>
  </si>
  <si>
    <t>Bolicious White Grape</t>
  </si>
  <si>
    <t>FYB2040027</t>
  </si>
  <si>
    <t>Bolicious Lychee</t>
  </si>
  <si>
    <t>FYB2040028</t>
  </si>
  <si>
    <t>Bolicious Mango</t>
  </si>
  <si>
    <t>FYB2040029</t>
  </si>
  <si>
    <t>Bolicious Mandarin</t>
  </si>
  <si>
    <t>FYE2010002</t>
  </si>
  <si>
    <t>Chop Chop DB</t>
  </si>
  <si>
    <t>FYE2020001</t>
  </si>
  <si>
    <t>Chop Chop Mini Bag</t>
  </si>
  <si>
    <t>FYE2040037</t>
  </si>
  <si>
    <t>Roo Jax</t>
  </si>
  <si>
    <t>FYE2040049</t>
  </si>
  <si>
    <t>Poppin Pazz</t>
  </si>
  <si>
    <t>FYE2040050</t>
  </si>
  <si>
    <t>Zugi Zagi Zug</t>
  </si>
  <si>
    <t>FYE2040053</t>
  </si>
  <si>
    <t>Wotaa-Melon</t>
  </si>
  <si>
    <t>FYE2040054</t>
  </si>
  <si>
    <t>Berribonz DB</t>
  </si>
  <si>
    <t>FYE5020001</t>
  </si>
  <si>
    <t>Noodles 23g</t>
  </si>
  <si>
    <t>FYL2040001</t>
  </si>
  <si>
    <t>VITA MIENIS</t>
  </si>
  <si>
    <t>FYM2040001</t>
  </si>
  <si>
    <t>PUFFY LAND MARKISA</t>
  </si>
  <si>
    <t>NEWCAND2026</t>
  </si>
  <si>
    <t>Candylicious</t>
  </si>
  <si>
    <t>NEWGT0012026</t>
  </si>
  <si>
    <t>Aquarium 2000</t>
  </si>
  <si>
    <t>NEWGT0022026</t>
  </si>
  <si>
    <t>Sweetheart 2000</t>
  </si>
  <si>
    <t>NEWGT0032026</t>
  </si>
  <si>
    <t>Fruit Moctails</t>
  </si>
  <si>
    <t>NEWGT0042026</t>
  </si>
  <si>
    <t>Mini Monz 3D</t>
  </si>
  <si>
    <t>NEWGT0052026</t>
  </si>
  <si>
    <t>Kcp DB 18 Gr</t>
  </si>
  <si>
    <t>NEWGT0062026</t>
  </si>
  <si>
    <t>Rocky Crunch</t>
  </si>
  <si>
    <t>NEWGT0072026</t>
  </si>
  <si>
    <t>Sushi Bento</t>
  </si>
  <si>
    <t>NEWGT0082026</t>
  </si>
  <si>
    <t>Big Baby Bear</t>
  </si>
  <si>
    <t>NEWGT0092026</t>
  </si>
  <si>
    <t>Super Star</t>
  </si>
  <si>
    <t>NEWGT0102026</t>
  </si>
  <si>
    <t>3D robot</t>
  </si>
  <si>
    <t>NEWGT0112026</t>
  </si>
  <si>
    <t>JUMBO KOREAN BBQ</t>
  </si>
  <si>
    <t>NEWGT0122026</t>
  </si>
  <si>
    <t>NEWGT0132026</t>
  </si>
  <si>
    <t>GUMMY FANGS SEPT</t>
  </si>
  <si>
    <t>NEWGT0142026</t>
  </si>
  <si>
    <t>KCP bag 65gr</t>
  </si>
  <si>
    <t>NEWGT0152026</t>
  </si>
  <si>
    <t>3D 45 gr (new)</t>
  </si>
  <si>
    <t>NEWGT0162026</t>
  </si>
  <si>
    <t>Monsta Pizza</t>
  </si>
  <si>
    <t>NEWGT0172026</t>
  </si>
  <si>
    <t>Rujack Gymmy + Saos 55gr</t>
  </si>
  <si>
    <t>NEWGT0182026</t>
  </si>
  <si>
    <t>Gummy Choco Enrobed</t>
  </si>
  <si>
    <t>NEWOEM012026</t>
  </si>
  <si>
    <t>FITKOM STRAWBERRY MILK (12X5) SACHET @ 21 G</t>
  </si>
  <si>
    <t>NEWOEM022026</t>
  </si>
  <si>
    <t>BEYONDVIT 20 POUCH x 30 IWP x 4 G</t>
  </si>
  <si>
    <t>NEWOEM032026</t>
  </si>
  <si>
    <t>ALAMII HUNNY</t>
  </si>
  <si>
    <t>KRG</t>
  </si>
  <si>
    <t>SAMOLO</t>
  </si>
  <si>
    <t>GP</t>
  </si>
  <si>
    <t>balance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</si>
</sst>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</font>
    <font>
      <sz val="11"/>
      <color indexed="8"/>
      <name val="Calibri"/>
      <charset val="134"/>
    </font>
    <font>
      <sz val="9"/>
      <color indexed="8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8" tint="0.599993896298105"/>
        <bgColor indexed="8"/>
      </patternFill>
    </fill>
    <fill>
      <patternFill patternType="solid">
        <fgColor theme="7" tint="0.799981688894314"/>
        <bgColor indexed="8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799981688894314"/>
        <bgColor indexed="8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0" fontId="3" fillId="31" borderId="0" applyNumberFormat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0" fillId="15" borderId="10" applyNumberFormat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3" fillId="30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9" borderId="9" applyNumberFormat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5" fillId="13" borderId="6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13" borderId="9" applyNumberFormat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</cellStyleXfs>
  <cellXfs count="18">
    <xf numFmtId="0" fontId="0" fillId="0" borderId="0" xfId="0" applyFill="1" applyProtection="1"/>
    <xf numFmtId="0" fontId="0" fillId="0" borderId="0" xfId="0" applyNumberFormat="1" applyFill="1" applyProtection="1"/>
    <xf numFmtId="0" fontId="1" fillId="0" borderId="1" xfId="0" applyNumberFormat="1" applyFont="1" applyFill="1" applyBorder="1" applyAlignment="1" applyProtection="1">
      <alignment horizontal="center"/>
    </xf>
    <xf numFmtId="0" fontId="0" fillId="0" borderId="2" xfId="0" applyNumberFormat="1" applyFill="1" applyBorder="1" applyAlignment="1" applyProtection="1">
      <alignment horizontal="center"/>
    </xf>
    <xf numFmtId="0" fontId="0" fillId="0" borderId="3" xfId="0" applyFill="1" applyBorder="1" applyProtection="1"/>
    <xf numFmtId="0" fontId="2" fillId="2" borderId="4" xfId="0" applyNumberFormat="1" applyFont="1" applyFill="1" applyBorder="1" applyAlignment="1" applyProtection="1">
      <alignment horizontal="right"/>
    </xf>
    <xf numFmtId="0" fontId="0" fillId="0" borderId="3" xfId="0" applyNumberFormat="1" applyFill="1" applyBorder="1" applyProtection="1"/>
    <xf numFmtId="0" fontId="0" fillId="0" borderId="5" xfId="0" applyNumberFormat="1" applyFill="1" applyBorder="1" applyAlignment="1" applyProtection="1">
      <alignment horizontal="center"/>
    </xf>
    <xf numFmtId="0" fontId="2" fillId="3" borderId="4" xfId="0" applyNumberFormat="1" applyFont="1" applyFill="1" applyBorder="1" applyAlignment="1" applyProtection="1">
      <alignment horizontal="right"/>
    </xf>
    <xf numFmtId="0" fontId="0" fillId="3" borderId="3" xfId="0" applyNumberFormat="1" applyFill="1" applyBorder="1" applyProtection="1"/>
    <xf numFmtId="0" fontId="2" fillId="2" borderId="3" xfId="0" applyNumberFormat="1" applyFont="1" applyFill="1" applyBorder="1" applyAlignment="1" applyProtection="1">
      <alignment horizontal="right"/>
    </xf>
    <xf numFmtId="0" fontId="0" fillId="4" borderId="3" xfId="0" applyNumberFormat="1" applyFill="1" applyBorder="1" applyProtection="1"/>
    <xf numFmtId="0" fontId="2" fillId="5" borderId="4" xfId="0" applyNumberFormat="1" applyFont="1" applyFill="1" applyBorder="1" applyAlignment="1" applyProtection="1">
      <alignment horizontal="right"/>
    </xf>
    <xf numFmtId="0" fontId="0" fillId="5" borderId="3" xfId="0" applyNumberFormat="1" applyFill="1" applyBorder="1" applyProtection="1"/>
    <xf numFmtId="0" fontId="0" fillId="6" borderId="3" xfId="0" applyNumberFormat="1" applyFill="1" applyBorder="1" applyProtection="1"/>
    <xf numFmtId="0" fontId="0" fillId="7" borderId="3" xfId="0" applyNumberFormat="1" applyFill="1" applyBorder="1" applyProtection="1"/>
    <xf numFmtId="0" fontId="0" fillId="8" borderId="3" xfId="0" applyNumberFormat="1" applyFill="1" applyBorder="1" applyProtection="1"/>
    <xf numFmtId="0" fontId="0" fillId="9" borderId="3" xfId="0" applyNumberForma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9F7EF"/>
      <rgbColor rgb="00E9FFA8"/>
      <rgbColor rgb="00DCFCE7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16"/>
  <sheetViews>
    <sheetView tabSelected="1" topLeftCell="AG1" workbookViewId="0">
      <selection activeCell="A1" sqref="A$1:BC$1048576"/>
    </sheetView>
  </sheetViews>
  <sheetFormatPr defaultColWidth="9" defaultRowHeight="15"/>
  <cols>
    <col min="1" max="1" width="10.8571428571429" customWidth="1"/>
    <col min="2" max="2" width="16.7142857142857" customWidth="1"/>
    <col min="3" max="3" width="59.4285714285714" customWidth="1"/>
    <col min="4" max="11" width="12.8571428571429" style="1" customWidth="1"/>
    <col min="12" max="12" width="14" style="1" customWidth="1"/>
    <col min="13" max="41" width="12.8571428571429" style="1" customWidth="1"/>
    <col min="42" max="42" width="13.1428571428571" style="1" customWidth="1"/>
    <col min="43" max="50" width="12.8571428571429" style="1" customWidth="1"/>
    <col min="51" max="51" width="14" style="1" customWidth="1"/>
    <col min="52" max="55" width="12.8571428571429" style="1" customWidth="1"/>
  </cols>
  <sheetData>
    <row r="1" spans="4:55"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7"/>
      <c r="Q1" s="2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7"/>
      <c r="AD1" s="2" t="s">
        <v>2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7"/>
      <c r="AQ1" s="2" t="s">
        <v>3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7"/>
    </row>
    <row r="2" spans="1:55">
      <c r="A2" s="4" t="s">
        <v>4</v>
      </c>
      <c r="B2" s="4" t="s">
        <v>5</v>
      </c>
      <c r="C2" s="4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8" t="s">
        <v>19</v>
      </c>
      <c r="Q2" s="10" t="s">
        <v>7</v>
      </c>
      <c r="R2" s="10" t="s">
        <v>8</v>
      </c>
      <c r="S2" s="10" t="s">
        <v>9</v>
      </c>
      <c r="T2" s="10" t="s">
        <v>10</v>
      </c>
      <c r="U2" s="10" t="s">
        <v>11</v>
      </c>
      <c r="V2" s="10" t="s">
        <v>12</v>
      </c>
      <c r="W2" s="10" t="s">
        <v>13</v>
      </c>
      <c r="X2" s="10" t="s">
        <v>14</v>
      </c>
      <c r="Y2" s="10" t="s">
        <v>15</v>
      </c>
      <c r="Z2" s="10" t="s">
        <v>16</v>
      </c>
      <c r="AA2" s="10" t="s">
        <v>17</v>
      </c>
      <c r="AB2" s="10" t="s">
        <v>18</v>
      </c>
      <c r="AC2" s="12" t="s">
        <v>20</v>
      </c>
      <c r="AD2" s="10" t="s">
        <v>7</v>
      </c>
      <c r="AE2" s="10" t="s">
        <v>8</v>
      </c>
      <c r="AF2" s="10" t="s">
        <v>9</v>
      </c>
      <c r="AG2" s="10" t="s">
        <v>10</v>
      </c>
      <c r="AH2" s="10" t="s">
        <v>11</v>
      </c>
      <c r="AI2" s="10" t="s">
        <v>12</v>
      </c>
      <c r="AJ2" s="10" t="s">
        <v>13</v>
      </c>
      <c r="AK2" s="10" t="s">
        <v>14</v>
      </c>
      <c r="AL2" s="10" t="s">
        <v>15</v>
      </c>
      <c r="AM2" s="10" t="s">
        <v>16</v>
      </c>
      <c r="AN2" s="10" t="s">
        <v>17</v>
      </c>
      <c r="AO2" s="10" t="s">
        <v>18</v>
      </c>
      <c r="AP2" s="12" t="s">
        <v>21</v>
      </c>
      <c r="AQ2" s="10" t="s">
        <v>7</v>
      </c>
      <c r="AR2" s="10" t="s">
        <v>8</v>
      </c>
      <c r="AS2" s="10" t="s">
        <v>9</v>
      </c>
      <c r="AT2" s="10" t="s">
        <v>10</v>
      </c>
      <c r="AU2" s="10" t="s">
        <v>11</v>
      </c>
      <c r="AV2" s="10" t="s">
        <v>12</v>
      </c>
      <c r="AW2" s="10" t="s">
        <v>13</v>
      </c>
      <c r="AX2" s="10" t="s">
        <v>14</v>
      </c>
      <c r="AY2" s="10" t="s">
        <v>15</v>
      </c>
      <c r="AZ2" s="10" t="s">
        <v>16</v>
      </c>
      <c r="BA2" s="10" t="s">
        <v>17</v>
      </c>
      <c r="BB2" s="10" t="s">
        <v>18</v>
      </c>
      <c r="BC2" s="12" t="s">
        <v>22</v>
      </c>
    </row>
    <row r="3" spans="1:55">
      <c r="A3" s="4" t="s">
        <v>23</v>
      </c>
      <c r="B3" s="4" t="s">
        <v>24</v>
      </c>
      <c r="C3" s="4" t="s">
        <v>25</v>
      </c>
      <c r="D3" s="6">
        <v>1600</v>
      </c>
      <c r="E3" s="6">
        <v>800</v>
      </c>
      <c r="F3" s="6">
        <v>2400</v>
      </c>
      <c r="G3" s="6">
        <v>0</v>
      </c>
      <c r="H3" s="6">
        <v>2000</v>
      </c>
      <c r="I3" s="6">
        <v>1200</v>
      </c>
      <c r="J3" s="6">
        <v>1200</v>
      </c>
      <c r="K3" s="6">
        <v>0</v>
      </c>
      <c r="L3" s="6">
        <v>1200</v>
      </c>
      <c r="M3" s="6">
        <v>0</v>
      </c>
      <c r="N3" s="6">
        <v>1200</v>
      </c>
      <c r="O3" s="6">
        <v>1200</v>
      </c>
      <c r="P3" s="9">
        <v>12800</v>
      </c>
      <c r="Q3" s="11">
        <f>+D3-AD3-AQ3</f>
        <v>1600</v>
      </c>
      <c r="R3" s="11">
        <f t="shared" ref="R3:AB3" si="0">+E3-AE3-AR3</f>
        <v>800</v>
      </c>
      <c r="S3" s="11">
        <f t="shared" si="0"/>
        <v>2400</v>
      </c>
      <c r="T3" s="11">
        <f t="shared" si="0"/>
        <v>0</v>
      </c>
      <c r="U3" s="11">
        <f t="shared" si="0"/>
        <v>2000</v>
      </c>
      <c r="V3" s="11">
        <f t="shared" si="0"/>
        <v>1200</v>
      </c>
      <c r="W3" s="11">
        <f t="shared" si="0"/>
        <v>1200</v>
      </c>
      <c r="X3" s="11">
        <f t="shared" si="0"/>
        <v>0</v>
      </c>
      <c r="Y3" s="11">
        <f t="shared" si="0"/>
        <v>1200</v>
      </c>
      <c r="Z3" s="11">
        <f t="shared" si="0"/>
        <v>0</v>
      </c>
      <c r="AA3" s="11">
        <f t="shared" si="0"/>
        <v>1200</v>
      </c>
      <c r="AB3" s="11">
        <f t="shared" si="0"/>
        <v>1200</v>
      </c>
      <c r="AC3" s="13">
        <f t="shared" ref="AC3:AC66" si="1">SUM(Q3:AB3)</f>
        <v>12800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3">
        <f t="shared" ref="AP3:AP66" si="2">SUM(AD3:AO3)</f>
        <v>0</v>
      </c>
      <c r="AQ3" s="16">
        <v>0</v>
      </c>
      <c r="AR3" s="16">
        <v>0</v>
      </c>
      <c r="AS3" s="16">
        <v>0</v>
      </c>
      <c r="AT3" s="16">
        <v>0</v>
      </c>
      <c r="AU3" s="16">
        <v>0</v>
      </c>
      <c r="AV3" s="16">
        <v>0</v>
      </c>
      <c r="AW3" s="16">
        <v>0</v>
      </c>
      <c r="AX3" s="16">
        <v>0</v>
      </c>
      <c r="AY3" s="16">
        <v>0</v>
      </c>
      <c r="AZ3" s="16">
        <v>0</v>
      </c>
      <c r="BA3" s="16">
        <v>0</v>
      </c>
      <c r="BB3" s="16">
        <v>0</v>
      </c>
      <c r="BC3" s="13">
        <f t="shared" ref="BC3:BC66" si="3">SUM(AQ3:BB3)</f>
        <v>0</v>
      </c>
    </row>
    <row r="4" spans="1:55">
      <c r="A4" s="4" t="s">
        <v>23</v>
      </c>
      <c r="B4" s="4" t="s">
        <v>26</v>
      </c>
      <c r="C4" s="4" t="s">
        <v>27</v>
      </c>
      <c r="D4" s="6">
        <v>200</v>
      </c>
      <c r="E4" s="6">
        <v>0</v>
      </c>
      <c r="F4" s="6">
        <v>5000</v>
      </c>
      <c r="G4" s="6">
        <v>5000</v>
      </c>
      <c r="H4" s="6">
        <v>2100</v>
      </c>
      <c r="I4" s="6">
        <v>0</v>
      </c>
      <c r="J4" s="6">
        <v>200</v>
      </c>
      <c r="K4" s="6">
        <v>4220</v>
      </c>
      <c r="L4" s="6">
        <v>4000</v>
      </c>
      <c r="M4" s="6">
        <v>0</v>
      </c>
      <c r="N4" s="6">
        <v>4000</v>
      </c>
      <c r="O4" s="6">
        <v>200</v>
      </c>
      <c r="P4" s="9">
        <v>24920</v>
      </c>
      <c r="Q4" s="11">
        <f t="shared" ref="Q4:Q67" si="4">+D4-AD4-AQ4</f>
        <v>200</v>
      </c>
      <c r="R4" s="11">
        <f t="shared" ref="R4:R67" si="5">+E4-AE4-AR4</f>
        <v>0</v>
      </c>
      <c r="S4" s="11">
        <f t="shared" ref="S4:S67" si="6">+F4-AF4-AS4</f>
        <v>5000</v>
      </c>
      <c r="T4" s="11">
        <f t="shared" ref="T4:T67" si="7">+G4-AG4-AT4</f>
        <v>5000</v>
      </c>
      <c r="U4" s="11">
        <f t="shared" ref="U4:U67" si="8">+H4-AH4-AU4</f>
        <v>2100</v>
      </c>
      <c r="V4" s="11">
        <f t="shared" ref="V4:V67" si="9">+I4-AI4-AV4</f>
        <v>0</v>
      </c>
      <c r="W4" s="11">
        <f t="shared" ref="W4:W67" si="10">+J4-AJ4-AW4</f>
        <v>200</v>
      </c>
      <c r="X4" s="11">
        <f t="shared" ref="X4:X67" si="11">+K4-AK4-AX4</f>
        <v>4220</v>
      </c>
      <c r="Y4" s="11">
        <f t="shared" ref="Y4:Y67" si="12">+L4-AL4-AY4</f>
        <v>4000</v>
      </c>
      <c r="Z4" s="11">
        <f t="shared" ref="Z4:Z67" si="13">+M4-AM4-AZ4</f>
        <v>0</v>
      </c>
      <c r="AA4" s="11">
        <f t="shared" ref="AA4:AA67" si="14">+N4-AN4-BA4</f>
        <v>4000</v>
      </c>
      <c r="AB4" s="11">
        <f t="shared" ref="AB4:AB67" si="15">+O4-AO4-BB4</f>
        <v>200</v>
      </c>
      <c r="AC4" s="13">
        <f t="shared" si="1"/>
        <v>24920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3">
        <f t="shared" si="2"/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3">
        <f t="shared" si="3"/>
        <v>0</v>
      </c>
    </row>
    <row r="5" spans="1:55">
      <c r="A5" s="4" t="s">
        <v>23</v>
      </c>
      <c r="B5" s="4" t="s">
        <v>28</v>
      </c>
      <c r="C5" s="4" t="s">
        <v>29</v>
      </c>
      <c r="D5" s="6">
        <v>4000</v>
      </c>
      <c r="E5" s="6">
        <v>0</v>
      </c>
      <c r="F5" s="6">
        <v>710</v>
      </c>
      <c r="G5" s="6">
        <v>4000</v>
      </c>
      <c r="H5" s="6">
        <v>200</v>
      </c>
      <c r="I5" s="6">
        <v>1790</v>
      </c>
      <c r="J5" s="6">
        <v>2090</v>
      </c>
      <c r="K5" s="6">
        <v>0</v>
      </c>
      <c r="L5" s="6">
        <v>4000</v>
      </c>
      <c r="M5" s="6">
        <v>0</v>
      </c>
      <c r="N5" s="6">
        <v>4000</v>
      </c>
      <c r="O5" s="6">
        <v>0</v>
      </c>
      <c r="P5" s="9">
        <v>20790</v>
      </c>
      <c r="Q5" s="11">
        <f t="shared" si="4"/>
        <v>4000</v>
      </c>
      <c r="R5" s="11">
        <f t="shared" si="5"/>
        <v>0</v>
      </c>
      <c r="S5" s="11">
        <f t="shared" si="6"/>
        <v>710</v>
      </c>
      <c r="T5" s="11">
        <f t="shared" si="7"/>
        <v>4000</v>
      </c>
      <c r="U5" s="11">
        <f t="shared" si="8"/>
        <v>200</v>
      </c>
      <c r="V5" s="11">
        <f t="shared" si="9"/>
        <v>1790</v>
      </c>
      <c r="W5" s="11">
        <f t="shared" si="10"/>
        <v>2090</v>
      </c>
      <c r="X5" s="11">
        <f t="shared" si="11"/>
        <v>0</v>
      </c>
      <c r="Y5" s="11">
        <f t="shared" si="12"/>
        <v>4000</v>
      </c>
      <c r="Z5" s="11">
        <f t="shared" si="13"/>
        <v>0</v>
      </c>
      <c r="AA5" s="11">
        <f t="shared" si="14"/>
        <v>4000</v>
      </c>
      <c r="AB5" s="11">
        <f t="shared" si="15"/>
        <v>0</v>
      </c>
      <c r="AC5" s="13">
        <f t="shared" si="1"/>
        <v>20790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3">
        <f t="shared" si="2"/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3">
        <f t="shared" si="3"/>
        <v>0</v>
      </c>
    </row>
    <row r="6" spans="1:55">
      <c r="A6" s="4" t="s">
        <v>23</v>
      </c>
      <c r="B6" s="4" t="s">
        <v>30</v>
      </c>
      <c r="C6" s="4" t="s">
        <v>31</v>
      </c>
      <c r="D6" s="6">
        <v>12730.972716</v>
      </c>
      <c r="E6" s="6">
        <v>9028.25352</v>
      </c>
      <c r="F6" s="6">
        <v>12876.666</v>
      </c>
      <c r="G6" s="6">
        <v>10430.05392</v>
      </c>
      <c r="H6" s="6">
        <v>8544.8352</v>
      </c>
      <c r="I6" s="6">
        <v>8402.77416</v>
      </c>
      <c r="J6" s="6">
        <v>12205.05264</v>
      </c>
      <c r="K6" s="6">
        <v>6787.3344</v>
      </c>
      <c r="L6" s="6">
        <v>9174.0560039</v>
      </c>
      <c r="M6" s="6">
        <v>14738.6129652</v>
      </c>
      <c r="N6" s="6">
        <v>11696.4795338</v>
      </c>
      <c r="O6" s="6">
        <v>11696.4795338</v>
      </c>
      <c r="P6" s="9">
        <v>128311.5705927</v>
      </c>
      <c r="Q6" s="11">
        <f t="shared" si="4"/>
        <v>0</v>
      </c>
      <c r="R6" s="11">
        <f t="shared" si="5"/>
        <v>0</v>
      </c>
      <c r="S6" s="11">
        <f t="shared" si="6"/>
        <v>0</v>
      </c>
      <c r="T6" s="11">
        <f t="shared" si="7"/>
        <v>0</v>
      </c>
      <c r="U6" s="11">
        <f t="shared" si="8"/>
        <v>0</v>
      </c>
      <c r="V6" s="11">
        <f t="shared" si="9"/>
        <v>0</v>
      </c>
      <c r="W6" s="11">
        <f t="shared" si="10"/>
        <v>0</v>
      </c>
      <c r="X6" s="11">
        <f t="shared" si="11"/>
        <v>0</v>
      </c>
      <c r="Y6" s="11">
        <f t="shared" si="12"/>
        <v>0</v>
      </c>
      <c r="Z6" s="11">
        <f t="shared" si="13"/>
        <v>0</v>
      </c>
      <c r="AA6" s="11">
        <f t="shared" si="14"/>
        <v>0</v>
      </c>
      <c r="AB6" s="11">
        <f t="shared" si="15"/>
        <v>0</v>
      </c>
      <c r="AC6" s="13">
        <f t="shared" si="1"/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3">
        <f t="shared" si="2"/>
        <v>0</v>
      </c>
      <c r="AQ6" s="16">
        <v>12730.972716</v>
      </c>
      <c r="AR6" s="16">
        <v>9028.25352</v>
      </c>
      <c r="AS6" s="16">
        <v>12876.666</v>
      </c>
      <c r="AT6" s="16">
        <v>10430.05392</v>
      </c>
      <c r="AU6" s="16">
        <v>8544.8352</v>
      </c>
      <c r="AV6" s="16">
        <v>8402.77416</v>
      </c>
      <c r="AW6" s="16">
        <v>12205.05264</v>
      </c>
      <c r="AX6" s="16">
        <v>6787.3344</v>
      </c>
      <c r="AY6" s="16">
        <v>9174.0560039</v>
      </c>
      <c r="AZ6" s="16">
        <v>14738.6129652</v>
      </c>
      <c r="BA6" s="16">
        <v>11696.4795338</v>
      </c>
      <c r="BB6" s="16">
        <v>11696.4795338</v>
      </c>
      <c r="BC6" s="13">
        <f t="shared" si="3"/>
        <v>128311.5705927</v>
      </c>
    </row>
    <row r="7" spans="1:55">
      <c r="A7" s="4" t="s">
        <v>23</v>
      </c>
      <c r="B7" s="4" t="s">
        <v>32</v>
      </c>
      <c r="C7" s="4" t="s">
        <v>33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3184.0176541</v>
      </c>
      <c r="N7" s="6">
        <v>2625.3959455</v>
      </c>
      <c r="O7" s="6">
        <v>2756.1011723</v>
      </c>
      <c r="P7" s="9">
        <v>8565.5147719</v>
      </c>
      <c r="Q7" s="11">
        <f t="shared" si="4"/>
        <v>0</v>
      </c>
      <c r="R7" s="11">
        <f t="shared" si="5"/>
        <v>0</v>
      </c>
      <c r="S7" s="11">
        <f t="shared" si="6"/>
        <v>0</v>
      </c>
      <c r="T7" s="11">
        <f t="shared" si="7"/>
        <v>0</v>
      </c>
      <c r="U7" s="11">
        <f t="shared" si="8"/>
        <v>0</v>
      </c>
      <c r="V7" s="11">
        <f t="shared" si="9"/>
        <v>0</v>
      </c>
      <c r="W7" s="11">
        <f t="shared" si="10"/>
        <v>0</v>
      </c>
      <c r="X7" s="11">
        <f t="shared" si="11"/>
        <v>0</v>
      </c>
      <c r="Y7" s="11">
        <f t="shared" si="12"/>
        <v>0</v>
      </c>
      <c r="Z7" s="11">
        <f t="shared" si="13"/>
        <v>3184.0176541</v>
      </c>
      <c r="AA7" s="11">
        <f t="shared" si="14"/>
        <v>2625.3959455</v>
      </c>
      <c r="AB7" s="11">
        <f t="shared" si="15"/>
        <v>2756.1011723</v>
      </c>
      <c r="AC7" s="13">
        <f t="shared" si="1"/>
        <v>8565.5147719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3">
        <f t="shared" si="2"/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3">
        <f t="shared" si="3"/>
        <v>0</v>
      </c>
    </row>
    <row r="8" spans="1:55">
      <c r="A8" s="4" t="s">
        <v>23</v>
      </c>
      <c r="B8" s="4" t="s">
        <v>34</v>
      </c>
      <c r="C8" s="4" t="s">
        <v>35</v>
      </c>
      <c r="D8" s="6">
        <v>7197.452</v>
      </c>
      <c r="E8" s="6">
        <v>6201.3552</v>
      </c>
      <c r="F8" s="6">
        <v>4478.4912</v>
      </c>
      <c r="G8" s="6">
        <v>7257.56</v>
      </c>
      <c r="H8" s="6">
        <v>4979.0340762</v>
      </c>
      <c r="I8" s="6">
        <v>3007.7696</v>
      </c>
      <c r="J8" s="6">
        <v>2218.9984</v>
      </c>
      <c r="K8" s="6">
        <v>5903.2008</v>
      </c>
      <c r="L8" s="6">
        <v>3740.4301452</v>
      </c>
      <c r="M8" s="6">
        <v>14457.6292712</v>
      </c>
      <c r="N8" s="6">
        <v>14712.0436523</v>
      </c>
      <c r="O8" s="6">
        <v>15346.9904948</v>
      </c>
      <c r="P8" s="9">
        <v>89500.9548397</v>
      </c>
      <c r="Q8" s="11">
        <f t="shared" si="4"/>
        <v>7197.452</v>
      </c>
      <c r="R8" s="11">
        <f t="shared" si="5"/>
        <v>6201.3552</v>
      </c>
      <c r="S8" s="11">
        <f t="shared" si="6"/>
        <v>4478.4912</v>
      </c>
      <c r="T8" s="11">
        <f t="shared" si="7"/>
        <v>7257.56</v>
      </c>
      <c r="U8" s="11">
        <f t="shared" si="8"/>
        <v>4979.0340762</v>
      </c>
      <c r="V8" s="11">
        <f t="shared" si="9"/>
        <v>3007.7696</v>
      </c>
      <c r="W8" s="11">
        <f t="shared" si="10"/>
        <v>2218.9984</v>
      </c>
      <c r="X8" s="11">
        <f t="shared" si="11"/>
        <v>5903.2008</v>
      </c>
      <c r="Y8" s="11">
        <f t="shared" si="12"/>
        <v>3740.4301452</v>
      </c>
      <c r="Z8" s="11">
        <f t="shared" si="13"/>
        <v>14457.6292712</v>
      </c>
      <c r="AA8" s="11">
        <f t="shared" si="14"/>
        <v>14712.0436523</v>
      </c>
      <c r="AB8" s="11">
        <f t="shared" si="15"/>
        <v>15346.9904948</v>
      </c>
      <c r="AC8" s="13">
        <f t="shared" si="1"/>
        <v>89500.9548397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3">
        <f t="shared" si="2"/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3">
        <f t="shared" si="3"/>
        <v>0</v>
      </c>
    </row>
    <row r="9" spans="1:55">
      <c r="A9" s="4" t="s">
        <v>23</v>
      </c>
      <c r="B9" s="4" t="s">
        <v>36</v>
      </c>
      <c r="C9" s="4" t="s">
        <v>37</v>
      </c>
      <c r="D9" s="6">
        <v>10498.000704</v>
      </c>
      <c r="E9" s="6">
        <v>9479.52768</v>
      </c>
      <c r="F9" s="6">
        <v>6733.826752</v>
      </c>
      <c r="G9" s="6">
        <v>12682.134144</v>
      </c>
      <c r="H9" s="6">
        <v>11678.0015994</v>
      </c>
      <c r="I9" s="6">
        <v>10581.010688</v>
      </c>
      <c r="J9" s="6">
        <v>12064.825856</v>
      </c>
      <c r="K9" s="6">
        <v>21899.0439964</v>
      </c>
      <c r="L9" s="6">
        <v>11746.9308968</v>
      </c>
      <c r="M9" s="6">
        <v>12893.9124628</v>
      </c>
      <c r="N9" s="6">
        <v>9116.9859813</v>
      </c>
      <c r="O9" s="6">
        <v>9744.9587073</v>
      </c>
      <c r="P9" s="9">
        <v>139119.159468</v>
      </c>
      <c r="Q9" s="11">
        <f t="shared" si="4"/>
        <v>10498.000704</v>
      </c>
      <c r="R9" s="11">
        <f t="shared" si="5"/>
        <v>9479.52768</v>
      </c>
      <c r="S9" s="11">
        <f t="shared" si="6"/>
        <v>6733.826752</v>
      </c>
      <c r="T9" s="11">
        <f t="shared" si="7"/>
        <v>12682.134144</v>
      </c>
      <c r="U9" s="11">
        <f t="shared" si="8"/>
        <v>11678.0015994</v>
      </c>
      <c r="V9" s="11">
        <f t="shared" si="9"/>
        <v>10581.010688</v>
      </c>
      <c r="W9" s="11">
        <f t="shared" si="10"/>
        <v>12064.825856</v>
      </c>
      <c r="X9" s="11">
        <f t="shared" si="11"/>
        <v>21899.0439964</v>
      </c>
      <c r="Y9" s="11">
        <f t="shared" si="12"/>
        <v>11746.9308968</v>
      </c>
      <c r="Z9" s="11">
        <f t="shared" si="13"/>
        <v>12893.9124628</v>
      </c>
      <c r="AA9" s="11">
        <f t="shared" si="14"/>
        <v>9116.9859813</v>
      </c>
      <c r="AB9" s="11">
        <f t="shared" si="15"/>
        <v>9744.9587073</v>
      </c>
      <c r="AC9" s="13">
        <f t="shared" si="1"/>
        <v>139119.159468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3">
        <f t="shared" si="2"/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3">
        <f t="shared" si="3"/>
        <v>0</v>
      </c>
    </row>
    <row r="10" spans="1:55">
      <c r="A10" s="4" t="s">
        <v>23</v>
      </c>
      <c r="B10" s="4" t="s">
        <v>38</v>
      </c>
      <c r="C10" s="4" t="s">
        <v>39</v>
      </c>
      <c r="D10" s="6">
        <v>71223.2840646</v>
      </c>
      <c r="E10" s="6">
        <v>63918.4928612</v>
      </c>
      <c r="F10" s="6">
        <v>53093.92176</v>
      </c>
      <c r="G10" s="6">
        <v>73168.946328</v>
      </c>
      <c r="H10" s="6">
        <v>79127.2624958</v>
      </c>
      <c r="I10" s="6">
        <v>86738.791577</v>
      </c>
      <c r="J10" s="6">
        <v>80351.9013936</v>
      </c>
      <c r="K10" s="6">
        <v>78783.6621612</v>
      </c>
      <c r="L10" s="6">
        <v>84785.7911101</v>
      </c>
      <c r="M10" s="6">
        <v>65117.7018834</v>
      </c>
      <c r="N10" s="6">
        <v>57934.8788308</v>
      </c>
      <c r="O10" s="6">
        <v>63996.5403845</v>
      </c>
      <c r="P10" s="9">
        <v>858241.1748502</v>
      </c>
      <c r="Q10" s="11">
        <f t="shared" si="4"/>
        <v>71223.2840646</v>
      </c>
      <c r="R10" s="11">
        <f t="shared" si="5"/>
        <v>63918.4928612</v>
      </c>
      <c r="S10" s="11">
        <f t="shared" si="6"/>
        <v>53093.92176</v>
      </c>
      <c r="T10" s="11">
        <f t="shared" si="7"/>
        <v>73168.946328</v>
      </c>
      <c r="U10" s="11">
        <f t="shared" si="8"/>
        <v>79127.2624958</v>
      </c>
      <c r="V10" s="11">
        <f t="shared" si="9"/>
        <v>86738.791577</v>
      </c>
      <c r="W10" s="11">
        <f t="shared" si="10"/>
        <v>80351.9013936</v>
      </c>
      <c r="X10" s="11">
        <f t="shared" si="11"/>
        <v>78783.6621612</v>
      </c>
      <c r="Y10" s="11">
        <f t="shared" si="12"/>
        <v>84785.7911101</v>
      </c>
      <c r="Z10" s="11">
        <f t="shared" si="13"/>
        <v>65117.7018834</v>
      </c>
      <c r="AA10" s="11">
        <f t="shared" si="14"/>
        <v>57934.8788308</v>
      </c>
      <c r="AB10" s="11">
        <f t="shared" si="15"/>
        <v>63996.5403845</v>
      </c>
      <c r="AC10" s="13">
        <f t="shared" si="1"/>
        <v>858241.1748502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3">
        <f t="shared" si="2"/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3">
        <f t="shared" si="3"/>
        <v>0</v>
      </c>
    </row>
    <row r="11" spans="1:55">
      <c r="A11" s="4" t="s">
        <v>23</v>
      </c>
      <c r="B11" s="4" t="s">
        <v>40</v>
      </c>
      <c r="C11" s="4" t="s">
        <v>41</v>
      </c>
      <c r="D11" s="6">
        <v>133471.8181178</v>
      </c>
      <c r="E11" s="6">
        <v>122855.307895</v>
      </c>
      <c r="F11" s="6">
        <v>79690.8120653</v>
      </c>
      <c r="G11" s="6">
        <v>114929.442263</v>
      </c>
      <c r="H11" s="6">
        <v>158936.7527942</v>
      </c>
      <c r="I11" s="6">
        <v>160905.2752935</v>
      </c>
      <c r="J11" s="6">
        <v>125156.0815642</v>
      </c>
      <c r="K11" s="6">
        <v>139158.4283782</v>
      </c>
      <c r="L11" s="6">
        <v>169805.2669444</v>
      </c>
      <c r="M11" s="6">
        <v>98664.7383698</v>
      </c>
      <c r="N11" s="6">
        <v>63915.9377677</v>
      </c>
      <c r="O11" s="6">
        <v>69939.0626185</v>
      </c>
      <c r="P11" s="9">
        <v>1437428.9240716</v>
      </c>
      <c r="Q11" s="11">
        <f t="shared" si="4"/>
        <v>0</v>
      </c>
      <c r="R11" s="11">
        <f t="shared" si="5"/>
        <v>0</v>
      </c>
      <c r="S11" s="11">
        <f t="shared" si="6"/>
        <v>0</v>
      </c>
      <c r="T11" s="11">
        <f t="shared" si="7"/>
        <v>0</v>
      </c>
      <c r="U11" s="11">
        <f t="shared" si="8"/>
        <v>0</v>
      </c>
      <c r="V11" s="11">
        <f t="shared" si="9"/>
        <v>0</v>
      </c>
      <c r="W11" s="11">
        <f t="shared" si="10"/>
        <v>0</v>
      </c>
      <c r="X11" s="11">
        <f t="shared" si="11"/>
        <v>0</v>
      </c>
      <c r="Y11" s="11">
        <f t="shared" si="12"/>
        <v>0</v>
      </c>
      <c r="Z11" s="11">
        <f t="shared" si="13"/>
        <v>0</v>
      </c>
      <c r="AA11" s="11">
        <f t="shared" si="14"/>
        <v>0</v>
      </c>
      <c r="AB11" s="11">
        <f t="shared" si="15"/>
        <v>0</v>
      </c>
      <c r="AC11" s="13">
        <f t="shared" si="1"/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3">
        <f t="shared" si="2"/>
        <v>0</v>
      </c>
      <c r="AQ11" s="16">
        <v>133471.8181178</v>
      </c>
      <c r="AR11" s="16">
        <v>122855.307895</v>
      </c>
      <c r="AS11" s="16">
        <v>79690.8120653</v>
      </c>
      <c r="AT11" s="16">
        <v>114929.442263</v>
      </c>
      <c r="AU11" s="16">
        <v>158936.7527942</v>
      </c>
      <c r="AV11" s="16">
        <v>160905.2752935</v>
      </c>
      <c r="AW11" s="16">
        <v>125156.0815642</v>
      </c>
      <c r="AX11" s="16">
        <v>139158.4283782</v>
      </c>
      <c r="AY11" s="16">
        <v>169805.2669444</v>
      </c>
      <c r="AZ11" s="16">
        <v>98664.7383698</v>
      </c>
      <c r="BA11" s="16">
        <v>63915.9377677</v>
      </c>
      <c r="BB11" s="16">
        <v>69939.0626185</v>
      </c>
      <c r="BC11" s="13">
        <f t="shared" si="3"/>
        <v>1437428.9240716</v>
      </c>
    </row>
    <row r="12" spans="1:55">
      <c r="A12" s="4" t="s">
        <v>23</v>
      </c>
      <c r="B12" s="4" t="s">
        <v>42</v>
      </c>
      <c r="C12" s="4" t="s">
        <v>43</v>
      </c>
      <c r="D12" s="6">
        <v>26752.7613312</v>
      </c>
      <c r="E12" s="6">
        <v>23599.5289536</v>
      </c>
      <c r="F12" s="6">
        <v>18437.153568</v>
      </c>
      <c r="G12" s="6">
        <v>27983.1813792</v>
      </c>
      <c r="H12" s="6">
        <v>22892.818139</v>
      </c>
      <c r="I12" s="6">
        <v>25780.1605152</v>
      </c>
      <c r="J12" s="6">
        <v>33188.125584</v>
      </c>
      <c r="K12" s="6">
        <v>35776.3942524</v>
      </c>
      <c r="L12" s="6">
        <v>32342.6860679</v>
      </c>
      <c r="M12" s="6">
        <v>31712.0342741</v>
      </c>
      <c r="N12" s="6">
        <v>22134.1649597</v>
      </c>
      <c r="O12" s="6">
        <v>24016.4651488</v>
      </c>
      <c r="P12" s="9">
        <v>324615.4741731</v>
      </c>
      <c r="Q12" s="11">
        <f t="shared" si="4"/>
        <v>0</v>
      </c>
      <c r="R12" s="11">
        <f t="shared" si="5"/>
        <v>0</v>
      </c>
      <c r="S12" s="11">
        <f t="shared" si="6"/>
        <v>0</v>
      </c>
      <c r="T12" s="11">
        <f t="shared" si="7"/>
        <v>0</v>
      </c>
      <c r="U12" s="11">
        <f t="shared" si="8"/>
        <v>0</v>
      </c>
      <c r="V12" s="11">
        <f t="shared" si="9"/>
        <v>0</v>
      </c>
      <c r="W12" s="11">
        <f t="shared" si="10"/>
        <v>0</v>
      </c>
      <c r="X12" s="11">
        <f t="shared" si="11"/>
        <v>0</v>
      </c>
      <c r="Y12" s="11">
        <f t="shared" si="12"/>
        <v>0</v>
      </c>
      <c r="Z12" s="11">
        <f t="shared" si="13"/>
        <v>0</v>
      </c>
      <c r="AA12" s="11">
        <f t="shared" si="14"/>
        <v>0</v>
      </c>
      <c r="AB12" s="11">
        <f t="shared" si="15"/>
        <v>0</v>
      </c>
      <c r="AC12" s="13">
        <f t="shared" si="1"/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3">
        <f t="shared" si="2"/>
        <v>0</v>
      </c>
      <c r="AQ12" s="16">
        <v>26752.7613312</v>
      </c>
      <c r="AR12" s="16">
        <v>23599.5289536</v>
      </c>
      <c r="AS12" s="16">
        <v>18437.153568</v>
      </c>
      <c r="AT12" s="16">
        <v>27983.1813792</v>
      </c>
      <c r="AU12" s="16">
        <v>22892.818139</v>
      </c>
      <c r="AV12" s="16">
        <v>25780.1605152</v>
      </c>
      <c r="AW12" s="16">
        <v>33188.125584</v>
      </c>
      <c r="AX12" s="16">
        <v>35776.3942524</v>
      </c>
      <c r="AY12" s="16">
        <v>32342.6860679</v>
      </c>
      <c r="AZ12" s="16">
        <v>31712.0342741</v>
      </c>
      <c r="BA12" s="16">
        <v>22134.1649597</v>
      </c>
      <c r="BB12" s="16">
        <v>24016.4651488</v>
      </c>
      <c r="BC12" s="13">
        <f t="shared" si="3"/>
        <v>324615.4741731</v>
      </c>
    </row>
    <row r="13" spans="1:55">
      <c r="A13" s="4" t="s">
        <v>23</v>
      </c>
      <c r="B13" s="4" t="s">
        <v>44</v>
      </c>
      <c r="C13" s="4" t="s">
        <v>45</v>
      </c>
      <c r="D13" s="6">
        <v>166290.2098879</v>
      </c>
      <c r="E13" s="6">
        <v>174312.1864704</v>
      </c>
      <c r="F13" s="6">
        <v>118243.0506241</v>
      </c>
      <c r="G13" s="6">
        <v>168118.0713445</v>
      </c>
      <c r="H13" s="6">
        <v>248807.3164424</v>
      </c>
      <c r="I13" s="6">
        <v>268222.3036006</v>
      </c>
      <c r="J13" s="6">
        <v>209403.3484646</v>
      </c>
      <c r="K13" s="6">
        <v>223067.1832672</v>
      </c>
      <c r="L13" s="6">
        <v>288140.9259488</v>
      </c>
      <c r="M13" s="6">
        <v>190984.5941456</v>
      </c>
      <c r="N13" s="6">
        <v>154909.8027437</v>
      </c>
      <c r="O13" s="6">
        <v>170419.5248388</v>
      </c>
      <c r="P13" s="9">
        <v>2380918.5177786</v>
      </c>
      <c r="Q13" s="11">
        <f t="shared" si="4"/>
        <v>0</v>
      </c>
      <c r="R13" s="11">
        <f t="shared" si="5"/>
        <v>0</v>
      </c>
      <c r="S13" s="11">
        <f t="shared" si="6"/>
        <v>0</v>
      </c>
      <c r="T13" s="11">
        <f t="shared" si="7"/>
        <v>0</v>
      </c>
      <c r="U13" s="11">
        <f t="shared" si="8"/>
        <v>0</v>
      </c>
      <c r="V13" s="11">
        <f t="shared" si="9"/>
        <v>0</v>
      </c>
      <c r="W13" s="11">
        <f t="shared" si="10"/>
        <v>0</v>
      </c>
      <c r="X13" s="11">
        <f t="shared" si="11"/>
        <v>0</v>
      </c>
      <c r="Y13" s="11">
        <f t="shared" si="12"/>
        <v>0</v>
      </c>
      <c r="Z13" s="11">
        <f t="shared" si="13"/>
        <v>0</v>
      </c>
      <c r="AA13" s="11">
        <f t="shared" si="14"/>
        <v>0</v>
      </c>
      <c r="AB13" s="11">
        <f t="shared" si="15"/>
        <v>0</v>
      </c>
      <c r="AC13" s="13">
        <f t="shared" si="1"/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3">
        <f t="shared" si="2"/>
        <v>0</v>
      </c>
      <c r="AQ13" s="16">
        <v>166290.2098879</v>
      </c>
      <c r="AR13" s="16">
        <v>174312.1864704</v>
      </c>
      <c r="AS13" s="16">
        <v>118243.0506241</v>
      </c>
      <c r="AT13" s="16">
        <v>168118.0713445</v>
      </c>
      <c r="AU13" s="16">
        <v>248807.3164424</v>
      </c>
      <c r="AV13" s="16">
        <v>268222.3036006</v>
      </c>
      <c r="AW13" s="16">
        <v>209403.3484646</v>
      </c>
      <c r="AX13" s="16">
        <v>223067.1832672</v>
      </c>
      <c r="AY13" s="16">
        <v>288140.9259488</v>
      </c>
      <c r="AZ13" s="16">
        <v>190984.5941456</v>
      </c>
      <c r="BA13" s="16">
        <v>154909.8027437</v>
      </c>
      <c r="BB13" s="16">
        <v>170419.5248388</v>
      </c>
      <c r="BC13" s="13">
        <f t="shared" si="3"/>
        <v>2380918.5177786</v>
      </c>
    </row>
    <row r="14" spans="1:55">
      <c r="A14" s="4" t="s">
        <v>23</v>
      </c>
      <c r="B14" s="4" t="s">
        <v>46</v>
      </c>
      <c r="C14" s="4" t="s">
        <v>47</v>
      </c>
      <c r="D14" s="6">
        <v>18992.44416</v>
      </c>
      <c r="E14" s="6">
        <v>9291.44112</v>
      </c>
      <c r="F14" s="6">
        <v>7519.50672</v>
      </c>
      <c r="G14" s="6">
        <v>12715.31534</v>
      </c>
      <c r="H14" s="6">
        <v>15709.7404542</v>
      </c>
      <c r="I14" s="6">
        <v>12535.67448</v>
      </c>
      <c r="J14" s="6">
        <v>14835.04854</v>
      </c>
      <c r="K14" s="6">
        <v>21167.6243644</v>
      </c>
      <c r="L14" s="6">
        <v>13614.4031888</v>
      </c>
      <c r="M14" s="6">
        <v>13554.6899259</v>
      </c>
      <c r="N14" s="6">
        <v>10541.0231278</v>
      </c>
      <c r="O14" s="6">
        <v>11706.9103596</v>
      </c>
      <c r="P14" s="9">
        <v>162183.8217807</v>
      </c>
      <c r="Q14" s="11">
        <f t="shared" si="4"/>
        <v>0</v>
      </c>
      <c r="R14" s="11">
        <f t="shared" si="5"/>
        <v>0</v>
      </c>
      <c r="S14" s="11">
        <f t="shared" si="6"/>
        <v>0</v>
      </c>
      <c r="T14" s="11">
        <f t="shared" si="7"/>
        <v>0</v>
      </c>
      <c r="U14" s="11">
        <f t="shared" si="8"/>
        <v>0</v>
      </c>
      <c r="V14" s="11">
        <f t="shared" si="9"/>
        <v>0</v>
      </c>
      <c r="W14" s="11">
        <f t="shared" si="10"/>
        <v>0</v>
      </c>
      <c r="X14" s="11">
        <f t="shared" si="11"/>
        <v>0</v>
      </c>
      <c r="Y14" s="11">
        <f t="shared" si="12"/>
        <v>0</v>
      </c>
      <c r="Z14" s="11">
        <f t="shared" si="13"/>
        <v>0</v>
      </c>
      <c r="AA14" s="11">
        <f t="shared" si="14"/>
        <v>0</v>
      </c>
      <c r="AB14" s="11">
        <f t="shared" si="15"/>
        <v>0</v>
      </c>
      <c r="AC14" s="13">
        <f t="shared" si="1"/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3">
        <f t="shared" si="2"/>
        <v>0</v>
      </c>
      <c r="AQ14" s="16">
        <v>18992.44416</v>
      </c>
      <c r="AR14" s="16">
        <v>9291.44112</v>
      </c>
      <c r="AS14" s="16">
        <v>7519.50672</v>
      </c>
      <c r="AT14" s="16">
        <v>12715.31534</v>
      </c>
      <c r="AU14" s="16">
        <v>15709.7404542</v>
      </c>
      <c r="AV14" s="16">
        <v>12535.67448</v>
      </c>
      <c r="AW14" s="16">
        <v>14835.04854</v>
      </c>
      <c r="AX14" s="16">
        <v>21167.6243644</v>
      </c>
      <c r="AY14" s="16">
        <v>13614.4031888</v>
      </c>
      <c r="AZ14" s="16">
        <v>13554.6899259</v>
      </c>
      <c r="BA14" s="16">
        <v>10541.0231278</v>
      </c>
      <c r="BB14" s="16">
        <v>11706.9103596</v>
      </c>
      <c r="BC14" s="13">
        <f t="shared" si="3"/>
        <v>162183.8217807</v>
      </c>
    </row>
    <row r="15" spans="1:55">
      <c r="A15" s="4" t="s">
        <v>23</v>
      </c>
      <c r="B15" s="4" t="s">
        <v>48</v>
      </c>
      <c r="C15" s="4" t="s">
        <v>49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223.38</v>
      </c>
      <c r="L15" s="6">
        <v>224.4156129</v>
      </c>
      <c r="M15" s="6">
        <v>360.5357173</v>
      </c>
      <c r="N15" s="6">
        <v>286.1190974</v>
      </c>
      <c r="O15" s="6">
        <v>286.1190974</v>
      </c>
      <c r="P15" s="9">
        <v>1380.569525</v>
      </c>
      <c r="Q15" s="11">
        <f t="shared" si="4"/>
        <v>0</v>
      </c>
      <c r="R15" s="11">
        <f t="shared" si="5"/>
        <v>0</v>
      </c>
      <c r="S15" s="11">
        <f t="shared" si="6"/>
        <v>0</v>
      </c>
      <c r="T15" s="11">
        <f t="shared" si="7"/>
        <v>0</v>
      </c>
      <c r="U15" s="11">
        <f t="shared" si="8"/>
        <v>0</v>
      </c>
      <c r="V15" s="11">
        <f t="shared" si="9"/>
        <v>0</v>
      </c>
      <c r="W15" s="11">
        <f t="shared" si="10"/>
        <v>0</v>
      </c>
      <c r="X15" s="11">
        <f t="shared" si="11"/>
        <v>223.38</v>
      </c>
      <c r="Y15" s="11">
        <f t="shared" si="12"/>
        <v>224.4156129</v>
      </c>
      <c r="Z15" s="11">
        <f t="shared" si="13"/>
        <v>360.5357173</v>
      </c>
      <c r="AA15" s="11">
        <f t="shared" si="14"/>
        <v>286.1190974</v>
      </c>
      <c r="AB15" s="11">
        <f t="shared" si="15"/>
        <v>286.1190974</v>
      </c>
      <c r="AC15" s="13">
        <f t="shared" si="1"/>
        <v>1380.569525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3">
        <f t="shared" si="2"/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3">
        <f t="shared" si="3"/>
        <v>0</v>
      </c>
    </row>
    <row r="16" spans="1:55">
      <c r="A16" s="4" t="s">
        <v>23</v>
      </c>
      <c r="B16" s="4" t="s">
        <v>50</v>
      </c>
      <c r="C16" s="4" t="s">
        <v>51</v>
      </c>
      <c r="D16" s="6">
        <v>0</v>
      </c>
      <c r="E16" s="6">
        <v>0</v>
      </c>
      <c r="F16" s="6">
        <v>0</v>
      </c>
      <c r="G16" s="6">
        <v>3000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3000</v>
      </c>
      <c r="N16" s="6">
        <v>0</v>
      </c>
      <c r="O16" s="6">
        <v>0</v>
      </c>
      <c r="P16" s="9">
        <v>6000</v>
      </c>
      <c r="Q16" s="11">
        <f t="shared" si="4"/>
        <v>0</v>
      </c>
      <c r="R16" s="11">
        <f t="shared" si="5"/>
        <v>0</v>
      </c>
      <c r="S16" s="11">
        <f t="shared" si="6"/>
        <v>0</v>
      </c>
      <c r="T16" s="11">
        <f t="shared" si="7"/>
        <v>3000</v>
      </c>
      <c r="U16" s="11">
        <f t="shared" si="8"/>
        <v>0</v>
      </c>
      <c r="V16" s="11">
        <f t="shared" si="9"/>
        <v>0</v>
      </c>
      <c r="W16" s="11">
        <f t="shared" si="10"/>
        <v>0</v>
      </c>
      <c r="X16" s="11">
        <f t="shared" si="11"/>
        <v>0</v>
      </c>
      <c r="Y16" s="11">
        <f t="shared" si="12"/>
        <v>0</v>
      </c>
      <c r="Z16" s="11">
        <f t="shared" si="13"/>
        <v>3000</v>
      </c>
      <c r="AA16" s="11">
        <f t="shared" si="14"/>
        <v>0</v>
      </c>
      <c r="AB16" s="11">
        <f t="shared" si="15"/>
        <v>0</v>
      </c>
      <c r="AC16" s="13">
        <f t="shared" si="1"/>
        <v>6000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3">
        <f t="shared" si="2"/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3">
        <f t="shared" si="3"/>
        <v>0</v>
      </c>
    </row>
    <row r="17" spans="1:55">
      <c r="A17" s="4" t="s">
        <v>23</v>
      </c>
      <c r="B17" s="4" t="s">
        <v>52</v>
      </c>
      <c r="C17" s="4" t="s">
        <v>53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3000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9">
        <v>3000</v>
      </c>
      <c r="Q17" s="11">
        <f t="shared" si="4"/>
        <v>0</v>
      </c>
      <c r="R17" s="11">
        <f t="shared" si="5"/>
        <v>0</v>
      </c>
      <c r="S17" s="11">
        <f t="shared" si="6"/>
        <v>0</v>
      </c>
      <c r="T17" s="11">
        <f t="shared" si="7"/>
        <v>0</v>
      </c>
      <c r="U17" s="11">
        <f t="shared" si="8"/>
        <v>0</v>
      </c>
      <c r="V17" s="11">
        <f t="shared" si="9"/>
        <v>0</v>
      </c>
      <c r="W17" s="11">
        <f t="shared" si="10"/>
        <v>3000</v>
      </c>
      <c r="X17" s="11">
        <f t="shared" si="11"/>
        <v>0</v>
      </c>
      <c r="Y17" s="11">
        <f t="shared" si="12"/>
        <v>0</v>
      </c>
      <c r="Z17" s="11">
        <f t="shared" si="13"/>
        <v>0</v>
      </c>
      <c r="AA17" s="11">
        <f t="shared" si="14"/>
        <v>0</v>
      </c>
      <c r="AB17" s="11">
        <f t="shared" si="15"/>
        <v>0</v>
      </c>
      <c r="AC17" s="13">
        <f t="shared" si="1"/>
        <v>3000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3">
        <f t="shared" si="2"/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3">
        <f t="shared" si="3"/>
        <v>0</v>
      </c>
    </row>
    <row r="18" spans="1:55">
      <c r="A18" s="4" t="s">
        <v>23</v>
      </c>
      <c r="B18" s="4" t="s">
        <v>54</v>
      </c>
      <c r="C18" s="4" t="s">
        <v>55</v>
      </c>
      <c r="D18" s="6">
        <v>0</v>
      </c>
      <c r="E18" s="6">
        <v>3000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3000</v>
      </c>
      <c r="M18" s="6">
        <v>0</v>
      </c>
      <c r="N18" s="6">
        <v>0</v>
      </c>
      <c r="O18" s="6">
        <v>0</v>
      </c>
      <c r="P18" s="9">
        <v>6000</v>
      </c>
      <c r="Q18" s="11">
        <f t="shared" si="4"/>
        <v>0</v>
      </c>
      <c r="R18" s="11">
        <f t="shared" si="5"/>
        <v>3000</v>
      </c>
      <c r="S18" s="11">
        <f t="shared" si="6"/>
        <v>0</v>
      </c>
      <c r="T18" s="11">
        <f t="shared" si="7"/>
        <v>0</v>
      </c>
      <c r="U18" s="11">
        <f t="shared" si="8"/>
        <v>0</v>
      </c>
      <c r="V18" s="11">
        <f t="shared" si="9"/>
        <v>0</v>
      </c>
      <c r="W18" s="11">
        <f t="shared" si="10"/>
        <v>0</v>
      </c>
      <c r="X18" s="11">
        <f t="shared" si="11"/>
        <v>0</v>
      </c>
      <c r="Y18" s="11">
        <f t="shared" si="12"/>
        <v>3000</v>
      </c>
      <c r="Z18" s="11">
        <f t="shared" si="13"/>
        <v>0</v>
      </c>
      <c r="AA18" s="11">
        <f t="shared" si="14"/>
        <v>0</v>
      </c>
      <c r="AB18" s="11">
        <f t="shared" si="15"/>
        <v>0</v>
      </c>
      <c r="AC18" s="13">
        <f t="shared" si="1"/>
        <v>6000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3">
        <f t="shared" si="2"/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3">
        <f t="shared" si="3"/>
        <v>0</v>
      </c>
    </row>
    <row r="19" spans="1:55">
      <c r="A19" s="4" t="s">
        <v>23</v>
      </c>
      <c r="B19" s="4" t="s">
        <v>56</v>
      </c>
      <c r="C19" s="4" t="s">
        <v>57</v>
      </c>
      <c r="D19" s="6">
        <v>37698.895</v>
      </c>
      <c r="E19" s="6">
        <v>26348.268</v>
      </c>
      <c r="F19" s="6">
        <v>18592.3164</v>
      </c>
      <c r="G19" s="6">
        <v>31182.3552</v>
      </c>
      <c r="H19" s="6">
        <v>34526.7415742</v>
      </c>
      <c r="I19" s="6">
        <v>30577.7748</v>
      </c>
      <c r="J19" s="6">
        <v>40115.2992</v>
      </c>
      <c r="K19" s="6">
        <v>34316.0222844</v>
      </c>
      <c r="L19" s="6">
        <v>31883.971749</v>
      </c>
      <c r="M19" s="6">
        <v>35519.3958315</v>
      </c>
      <c r="N19" s="6">
        <v>25474.192181</v>
      </c>
      <c r="O19" s="6">
        <v>27074.485262</v>
      </c>
      <c r="P19" s="9">
        <v>373309.7174821</v>
      </c>
      <c r="Q19" s="11">
        <f t="shared" si="4"/>
        <v>41.9399999999951</v>
      </c>
      <c r="R19" s="11">
        <f t="shared" si="5"/>
        <v>0</v>
      </c>
      <c r="S19" s="11">
        <f t="shared" si="6"/>
        <v>0</v>
      </c>
      <c r="T19" s="11">
        <f t="shared" si="7"/>
        <v>0</v>
      </c>
      <c r="U19" s="11">
        <f t="shared" si="8"/>
        <v>3088.4353742</v>
      </c>
      <c r="V19" s="11">
        <f t="shared" si="9"/>
        <v>0</v>
      </c>
      <c r="W19" s="11">
        <f t="shared" si="10"/>
        <v>40115.2992</v>
      </c>
      <c r="X19" s="11">
        <f t="shared" si="11"/>
        <v>34316.0222844</v>
      </c>
      <c r="Y19" s="11">
        <f t="shared" si="12"/>
        <v>31883.971749</v>
      </c>
      <c r="Z19" s="11">
        <f t="shared" si="13"/>
        <v>35519.3958315</v>
      </c>
      <c r="AA19" s="11">
        <f t="shared" si="14"/>
        <v>25474.192181</v>
      </c>
      <c r="AB19" s="11">
        <f t="shared" si="15"/>
        <v>27074.485262</v>
      </c>
      <c r="AC19" s="13">
        <f t="shared" si="1"/>
        <v>197513.7418821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3">
        <f t="shared" si="2"/>
        <v>0</v>
      </c>
      <c r="AQ19" s="16">
        <v>37656.955</v>
      </c>
      <c r="AR19" s="16">
        <v>26348.268</v>
      </c>
      <c r="AS19" s="16">
        <v>18592.3164</v>
      </c>
      <c r="AT19" s="16">
        <v>31182.3552</v>
      </c>
      <c r="AU19" s="16">
        <v>31438.3062</v>
      </c>
      <c r="AV19" s="16">
        <v>30577.7748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3">
        <f t="shared" si="3"/>
        <v>175795.9756</v>
      </c>
    </row>
    <row r="20" spans="1:55">
      <c r="A20" s="4" t="s">
        <v>23</v>
      </c>
      <c r="B20" s="4" t="s">
        <v>58</v>
      </c>
      <c r="C20" s="4" t="s">
        <v>59</v>
      </c>
      <c r="D20" s="6">
        <v>124.821648</v>
      </c>
      <c r="E20" s="6">
        <v>13.2048</v>
      </c>
      <c r="F20" s="6">
        <v>34.88544</v>
      </c>
      <c r="G20" s="6">
        <v>113.40288</v>
      </c>
      <c r="H20" s="6">
        <v>5164.13376</v>
      </c>
      <c r="I20" s="6">
        <v>2351.76768</v>
      </c>
      <c r="J20" s="6">
        <v>3136.968</v>
      </c>
      <c r="K20" s="6">
        <v>1821.95136</v>
      </c>
      <c r="L20" s="6">
        <v>2448.1933814</v>
      </c>
      <c r="M20" s="6">
        <v>3933.1539612</v>
      </c>
      <c r="N20" s="6">
        <v>3121.3286433</v>
      </c>
      <c r="O20" s="6">
        <v>3121.3286433</v>
      </c>
      <c r="P20" s="9">
        <v>25385.1401972</v>
      </c>
      <c r="Q20" s="11">
        <f t="shared" si="4"/>
        <v>124.821648</v>
      </c>
      <c r="R20" s="11">
        <f t="shared" si="5"/>
        <v>13.2048</v>
      </c>
      <c r="S20" s="11">
        <f t="shared" si="6"/>
        <v>34.88544</v>
      </c>
      <c r="T20" s="11">
        <f t="shared" si="7"/>
        <v>113.40288</v>
      </c>
      <c r="U20" s="11">
        <f t="shared" si="8"/>
        <v>5164.13376</v>
      </c>
      <c r="V20" s="11">
        <f t="shared" si="9"/>
        <v>2351.76768</v>
      </c>
      <c r="W20" s="11">
        <f t="shared" si="10"/>
        <v>3136.968</v>
      </c>
      <c r="X20" s="11">
        <f t="shared" si="11"/>
        <v>1821.95136</v>
      </c>
      <c r="Y20" s="11">
        <f t="shared" si="12"/>
        <v>2448.1933814</v>
      </c>
      <c r="Z20" s="11">
        <f t="shared" si="13"/>
        <v>3933.1539612</v>
      </c>
      <c r="AA20" s="11">
        <f t="shared" si="14"/>
        <v>3121.3286433</v>
      </c>
      <c r="AB20" s="11">
        <f t="shared" si="15"/>
        <v>3121.3286433</v>
      </c>
      <c r="AC20" s="13">
        <f t="shared" si="1"/>
        <v>25385.1401972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3">
        <f t="shared" si="2"/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3">
        <f t="shared" si="3"/>
        <v>0</v>
      </c>
    </row>
    <row r="21" spans="1:55">
      <c r="A21" s="4" t="s">
        <v>23</v>
      </c>
      <c r="B21" s="4" t="s">
        <v>60</v>
      </c>
      <c r="C21" s="4" t="s">
        <v>61</v>
      </c>
      <c r="D21" s="6">
        <v>29988.4922204</v>
      </c>
      <c r="E21" s="6">
        <v>36498.4109503</v>
      </c>
      <c r="F21" s="6">
        <v>42161.4905037</v>
      </c>
      <c r="G21" s="6">
        <v>30336.549795</v>
      </c>
      <c r="H21" s="6">
        <v>24965.4599163</v>
      </c>
      <c r="I21" s="6">
        <v>26986.9880019</v>
      </c>
      <c r="J21" s="6">
        <v>38332.887782</v>
      </c>
      <c r="K21" s="6">
        <v>26007.3356451</v>
      </c>
      <c r="L21" s="6">
        <v>30583.5379545</v>
      </c>
      <c r="M21" s="6">
        <v>49134.0938867</v>
      </c>
      <c r="N21" s="6">
        <v>38992.5378265</v>
      </c>
      <c r="O21" s="6">
        <v>38992.5378265</v>
      </c>
      <c r="P21" s="9">
        <v>412980.3223089</v>
      </c>
      <c r="Q21" s="11">
        <f t="shared" si="4"/>
        <v>0</v>
      </c>
      <c r="R21" s="11">
        <f t="shared" si="5"/>
        <v>0</v>
      </c>
      <c r="S21" s="11">
        <f t="shared" si="6"/>
        <v>0</v>
      </c>
      <c r="T21" s="11">
        <f t="shared" si="7"/>
        <v>0</v>
      </c>
      <c r="U21" s="11">
        <f t="shared" si="8"/>
        <v>0</v>
      </c>
      <c r="V21" s="11">
        <f t="shared" si="9"/>
        <v>0</v>
      </c>
      <c r="W21" s="11">
        <f t="shared" si="10"/>
        <v>0</v>
      </c>
      <c r="X21" s="11">
        <f t="shared" si="11"/>
        <v>0</v>
      </c>
      <c r="Y21" s="11">
        <f t="shared" si="12"/>
        <v>0</v>
      </c>
      <c r="Z21" s="11">
        <f t="shared" si="13"/>
        <v>0</v>
      </c>
      <c r="AA21" s="11">
        <f t="shared" si="14"/>
        <v>0</v>
      </c>
      <c r="AB21" s="11">
        <f t="shared" si="15"/>
        <v>0</v>
      </c>
      <c r="AC21" s="13">
        <f t="shared" si="1"/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3">
        <f t="shared" si="2"/>
        <v>0</v>
      </c>
      <c r="AQ21" s="16">
        <v>29988.4922204</v>
      </c>
      <c r="AR21" s="16">
        <v>36498.4109503</v>
      </c>
      <c r="AS21" s="16">
        <v>42161.4905037</v>
      </c>
      <c r="AT21" s="16">
        <v>30336.549795</v>
      </c>
      <c r="AU21" s="16">
        <v>24965.4599163</v>
      </c>
      <c r="AV21" s="16">
        <v>26986.9880019</v>
      </c>
      <c r="AW21" s="16">
        <v>38332.887782</v>
      </c>
      <c r="AX21" s="16">
        <v>26007.3356451</v>
      </c>
      <c r="AY21" s="16">
        <v>30583.5379545</v>
      </c>
      <c r="AZ21" s="16">
        <v>49134.0938867</v>
      </c>
      <c r="BA21" s="16">
        <v>38992.5378265</v>
      </c>
      <c r="BB21" s="16">
        <v>38992.5378265</v>
      </c>
      <c r="BC21" s="13">
        <f t="shared" si="3"/>
        <v>412980.3223089</v>
      </c>
    </row>
    <row r="22" spans="1:55">
      <c r="A22" s="4" t="s">
        <v>23</v>
      </c>
      <c r="B22" s="4" t="s">
        <v>62</v>
      </c>
      <c r="C22" s="4" t="s">
        <v>63</v>
      </c>
      <c r="D22" s="6">
        <v>37168.656462</v>
      </c>
      <c r="E22" s="6">
        <v>40057.85988</v>
      </c>
      <c r="F22" s="6">
        <v>37744.13052</v>
      </c>
      <c r="G22" s="6">
        <v>36491.3748</v>
      </c>
      <c r="H22" s="6">
        <v>27569.03688</v>
      </c>
      <c r="I22" s="6">
        <v>36223.45272</v>
      </c>
      <c r="J22" s="6">
        <v>45783.27036</v>
      </c>
      <c r="K22" s="6">
        <v>28022.98032</v>
      </c>
      <c r="L22" s="6">
        <v>36846.6041764</v>
      </c>
      <c r="M22" s="6">
        <v>59196.0456538</v>
      </c>
      <c r="N22" s="6">
        <v>46977.6455969</v>
      </c>
      <c r="O22" s="6">
        <v>46977.6455969</v>
      </c>
      <c r="P22" s="9">
        <v>479058.702966</v>
      </c>
      <c r="Q22" s="11">
        <f t="shared" si="4"/>
        <v>0</v>
      </c>
      <c r="R22" s="11">
        <f t="shared" si="5"/>
        <v>0</v>
      </c>
      <c r="S22" s="11">
        <f t="shared" si="6"/>
        <v>0</v>
      </c>
      <c r="T22" s="11">
        <f t="shared" si="7"/>
        <v>0</v>
      </c>
      <c r="U22" s="11">
        <f t="shared" si="8"/>
        <v>0</v>
      </c>
      <c r="V22" s="11">
        <f t="shared" si="9"/>
        <v>0</v>
      </c>
      <c r="W22" s="11">
        <f t="shared" si="10"/>
        <v>0</v>
      </c>
      <c r="X22" s="11">
        <f t="shared" si="11"/>
        <v>0</v>
      </c>
      <c r="Y22" s="11">
        <f t="shared" si="12"/>
        <v>0</v>
      </c>
      <c r="Z22" s="11">
        <f t="shared" si="13"/>
        <v>0</v>
      </c>
      <c r="AA22" s="11">
        <f t="shared" si="14"/>
        <v>0</v>
      </c>
      <c r="AB22" s="11">
        <f t="shared" si="15"/>
        <v>0</v>
      </c>
      <c r="AC22" s="13">
        <f t="shared" si="1"/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3">
        <f t="shared" si="2"/>
        <v>0</v>
      </c>
      <c r="AQ22" s="16">
        <v>37168.656462</v>
      </c>
      <c r="AR22" s="16">
        <v>40057.85988</v>
      </c>
      <c r="AS22" s="16">
        <v>37744.13052</v>
      </c>
      <c r="AT22" s="16">
        <v>36491.3748</v>
      </c>
      <c r="AU22" s="16">
        <v>27569.03688</v>
      </c>
      <c r="AV22" s="16">
        <v>36223.45272</v>
      </c>
      <c r="AW22" s="16">
        <v>45783.27036</v>
      </c>
      <c r="AX22" s="16">
        <v>28022.98032</v>
      </c>
      <c r="AY22" s="16">
        <v>36846.6041764</v>
      </c>
      <c r="AZ22" s="16">
        <v>59196.0456538</v>
      </c>
      <c r="BA22" s="16">
        <v>46977.6455969</v>
      </c>
      <c r="BB22" s="16">
        <v>46977.6455969</v>
      </c>
      <c r="BC22" s="13">
        <f t="shared" si="3"/>
        <v>479058.702966</v>
      </c>
    </row>
    <row r="23" spans="1:55">
      <c r="A23" s="4" t="s">
        <v>23</v>
      </c>
      <c r="B23" s="4" t="s">
        <v>64</v>
      </c>
      <c r="C23" s="4" t="s">
        <v>65</v>
      </c>
      <c r="D23" s="6">
        <v>3473.880858</v>
      </c>
      <c r="E23" s="6">
        <v>2616.90588</v>
      </c>
      <c r="F23" s="6">
        <v>2863.02276</v>
      </c>
      <c r="G23" s="6">
        <v>2653.09992</v>
      </c>
      <c r="H23" s="6">
        <v>2292.4458</v>
      </c>
      <c r="I23" s="6">
        <v>2076.53868</v>
      </c>
      <c r="J23" s="6">
        <v>3094.30692</v>
      </c>
      <c r="K23" s="6">
        <v>2101.86252</v>
      </c>
      <c r="L23" s="6">
        <v>2435.47505</v>
      </c>
      <c r="M23" s="6">
        <v>3912.7212798</v>
      </c>
      <c r="N23" s="6">
        <v>3105.1133833</v>
      </c>
      <c r="O23" s="6">
        <v>3105.1133833</v>
      </c>
      <c r="P23" s="9">
        <v>33730.4864344</v>
      </c>
      <c r="Q23" s="11">
        <f t="shared" si="4"/>
        <v>0</v>
      </c>
      <c r="R23" s="11">
        <f t="shared" si="5"/>
        <v>0</v>
      </c>
      <c r="S23" s="11">
        <f t="shared" si="6"/>
        <v>0</v>
      </c>
      <c r="T23" s="11">
        <f t="shared" si="7"/>
        <v>0</v>
      </c>
      <c r="U23" s="11">
        <f t="shared" si="8"/>
        <v>0</v>
      </c>
      <c r="V23" s="11">
        <f t="shared" si="9"/>
        <v>0</v>
      </c>
      <c r="W23" s="11">
        <f t="shared" si="10"/>
        <v>0</v>
      </c>
      <c r="X23" s="11">
        <f t="shared" si="11"/>
        <v>0</v>
      </c>
      <c r="Y23" s="11">
        <f t="shared" si="12"/>
        <v>0</v>
      </c>
      <c r="Z23" s="11">
        <f t="shared" si="13"/>
        <v>0</v>
      </c>
      <c r="AA23" s="11">
        <f t="shared" si="14"/>
        <v>0</v>
      </c>
      <c r="AB23" s="11">
        <f t="shared" si="15"/>
        <v>0</v>
      </c>
      <c r="AC23" s="13">
        <f t="shared" si="1"/>
        <v>0</v>
      </c>
      <c r="AD23" s="15">
        <v>3473.880858</v>
      </c>
      <c r="AE23" s="15">
        <v>2616.90588</v>
      </c>
      <c r="AF23" s="15">
        <v>2863.02276</v>
      </c>
      <c r="AG23" s="15">
        <v>2653.09992</v>
      </c>
      <c r="AH23" s="15">
        <v>2292.4458</v>
      </c>
      <c r="AI23" s="15">
        <v>2076.53868</v>
      </c>
      <c r="AJ23" s="15">
        <v>3094.30692</v>
      </c>
      <c r="AK23" s="15">
        <v>2101.86252</v>
      </c>
      <c r="AL23" s="15">
        <v>2435.47505</v>
      </c>
      <c r="AM23" s="15">
        <v>3912.7212798</v>
      </c>
      <c r="AN23" s="15">
        <v>3105.1133833</v>
      </c>
      <c r="AO23" s="15">
        <v>3105.1133833</v>
      </c>
      <c r="AP23" s="13">
        <f t="shared" si="2"/>
        <v>33730.4864344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3">
        <f t="shared" si="3"/>
        <v>0</v>
      </c>
    </row>
    <row r="24" spans="1:55">
      <c r="A24" s="4" t="s">
        <v>23</v>
      </c>
      <c r="B24" s="4" t="s">
        <v>66</v>
      </c>
      <c r="C24" s="4" t="s">
        <v>67</v>
      </c>
      <c r="D24" s="6">
        <v>4930.16139</v>
      </c>
      <c r="E24" s="6">
        <v>3862.26144</v>
      </c>
      <c r="F24" s="6">
        <v>2801.25864</v>
      </c>
      <c r="G24" s="6">
        <v>4192.70904</v>
      </c>
      <c r="H24" s="6">
        <v>3346.80984</v>
      </c>
      <c r="I24" s="6">
        <v>3481.22772</v>
      </c>
      <c r="J24" s="6">
        <v>4846.23648</v>
      </c>
      <c r="K24" s="6">
        <v>3697.18344</v>
      </c>
      <c r="L24" s="6">
        <v>4026.798385</v>
      </c>
      <c r="M24" s="6">
        <v>6469.2675584</v>
      </c>
      <c r="N24" s="6">
        <v>5133.9739889</v>
      </c>
      <c r="O24" s="6">
        <v>5133.9739889</v>
      </c>
      <c r="P24" s="9">
        <v>51921.8619112</v>
      </c>
      <c r="Q24" s="11">
        <f t="shared" si="4"/>
        <v>0</v>
      </c>
      <c r="R24" s="11">
        <f t="shared" si="5"/>
        <v>0</v>
      </c>
      <c r="S24" s="11">
        <f t="shared" si="6"/>
        <v>0</v>
      </c>
      <c r="T24" s="11">
        <f t="shared" si="7"/>
        <v>0</v>
      </c>
      <c r="U24" s="11">
        <f t="shared" si="8"/>
        <v>0</v>
      </c>
      <c r="V24" s="11">
        <f t="shared" si="9"/>
        <v>0</v>
      </c>
      <c r="W24" s="11">
        <f t="shared" si="10"/>
        <v>0</v>
      </c>
      <c r="X24" s="11">
        <f t="shared" si="11"/>
        <v>0</v>
      </c>
      <c r="Y24" s="11">
        <f t="shared" si="12"/>
        <v>0</v>
      </c>
      <c r="Z24" s="11">
        <f t="shared" si="13"/>
        <v>0</v>
      </c>
      <c r="AA24" s="11">
        <f t="shared" si="14"/>
        <v>0</v>
      </c>
      <c r="AB24" s="11">
        <f t="shared" si="15"/>
        <v>0</v>
      </c>
      <c r="AC24" s="13">
        <f t="shared" si="1"/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3">
        <f t="shared" si="2"/>
        <v>0</v>
      </c>
      <c r="AQ24" s="16">
        <v>4930.16139</v>
      </c>
      <c r="AR24" s="16">
        <v>3862.26144</v>
      </c>
      <c r="AS24" s="16">
        <v>2801.25864</v>
      </c>
      <c r="AT24" s="16">
        <v>4192.70904</v>
      </c>
      <c r="AU24" s="16">
        <v>3346.80984</v>
      </c>
      <c r="AV24" s="16">
        <v>3481.22772</v>
      </c>
      <c r="AW24" s="16">
        <v>4846.23648</v>
      </c>
      <c r="AX24" s="16">
        <v>3697.18344</v>
      </c>
      <c r="AY24" s="16">
        <v>4026.798385</v>
      </c>
      <c r="AZ24" s="16">
        <v>6469.2675584</v>
      </c>
      <c r="BA24" s="16">
        <v>5133.9739889</v>
      </c>
      <c r="BB24" s="16">
        <v>5133.9739889</v>
      </c>
      <c r="BC24" s="13">
        <f t="shared" si="3"/>
        <v>51921.8619112</v>
      </c>
    </row>
    <row r="25" spans="1:55">
      <c r="A25" s="4" t="s">
        <v>23</v>
      </c>
      <c r="B25" s="4" t="s">
        <v>68</v>
      </c>
      <c r="C25" s="4" t="s">
        <v>69</v>
      </c>
      <c r="D25" s="6">
        <v>47999.406546</v>
      </c>
      <c r="E25" s="6">
        <v>51285.56472</v>
      </c>
      <c r="F25" s="6">
        <v>43736.83128</v>
      </c>
      <c r="G25" s="6">
        <v>40738.71348</v>
      </c>
      <c r="H25" s="6">
        <v>26840.60388</v>
      </c>
      <c r="I25" s="6">
        <v>35083.64016</v>
      </c>
      <c r="J25" s="6">
        <v>45899.06472</v>
      </c>
      <c r="K25" s="6">
        <v>28789.60968</v>
      </c>
      <c r="L25" s="6">
        <v>36760.4101359</v>
      </c>
      <c r="M25" s="6">
        <v>59057.5703054</v>
      </c>
      <c r="N25" s="6">
        <v>46867.7523468</v>
      </c>
      <c r="O25" s="6">
        <v>46867.7523468</v>
      </c>
      <c r="P25" s="9">
        <v>509926.9196009</v>
      </c>
      <c r="Q25" s="11">
        <f t="shared" si="4"/>
        <v>0</v>
      </c>
      <c r="R25" s="11">
        <f t="shared" si="5"/>
        <v>0</v>
      </c>
      <c r="S25" s="11">
        <f t="shared" si="6"/>
        <v>0</v>
      </c>
      <c r="T25" s="11">
        <f t="shared" si="7"/>
        <v>0</v>
      </c>
      <c r="U25" s="11">
        <f t="shared" si="8"/>
        <v>0</v>
      </c>
      <c r="V25" s="11">
        <f t="shared" si="9"/>
        <v>0</v>
      </c>
      <c r="W25" s="11">
        <f t="shared" si="10"/>
        <v>0</v>
      </c>
      <c r="X25" s="11">
        <f t="shared" si="11"/>
        <v>0</v>
      </c>
      <c r="Y25" s="11">
        <f t="shared" si="12"/>
        <v>0</v>
      </c>
      <c r="Z25" s="11">
        <f t="shared" si="13"/>
        <v>0</v>
      </c>
      <c r="AA25" s="11">
        <f t="shared" si="14"/>
        <v>0</v>
      </c>
      <c r="AB25" s="11">
        <f t="shared" si="15"/>
        <v>0</v>
      </c>
      <c r="AC25" s="13">
        <f t="shared" si="1"/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3">
        <f t="shared" si="2"/>
        <v>0</v>
      </c>
      <c r="AQ25" s="16">
        <v>47999.406546</v>
      </c>
      <c r="AR25" s="16">
        <v>51285.56472</v>
      </c>
      <c r="AS25" s="16">
        <v>43736.83128</v>
      </c>
      <c r="AT25" s="16">
        <v>40738.71348</v>
      </c>
      <c r="AU25" s="16">
        <v>26840.60388</v>
      </c>
      <c r="AV25" s="16">
        <v>35083.64016</v>
      </c>
      <c r="AW25" s="16">
        <v>45899.06472</v>
      </c>
      <c r="AX25" s="16">
        <v>28789.60968</v>
      </c>
      <c r="AY25" s="16">
        <v>36760.4101359</v>
      </c>
      <c r="AZ25" s="16">
        <v>59057.5703054</v>
      </c>
      <c r="BA25" s="16">
        <v>46867.7523468</v>
      </c>
      <c r="BB25" s="16">
        <v>46867.7523468</v>
      </c>
      <c r="BC25" s="13">
        <f t="shared" si="3"/>
        <v>509926.9196009</v>
      </c>
    </row>
    <row r="26" spans="1:55">
      <c r="A26" s="4" t="s">
        <v>23</v>
      </c>
      <c r="B26" s="4" t="s">
        <v>70</v>
      </c>
      <c r="C26" s="4" t="s">
        <v>71</v>
      </c>
      <c r="D26" s="6">
        <v>3304.7028</v>
      </c>
      <c r="E26" s="6">
        <v>2636.44956</v>
      </c>
      <c r="F26" s="6">
        <v>2685.32172</v>
      </c>
      <c r="G26" s="6">
        <v>2303.98668</v>
      </c>
      <c r="H26" s="6">
        <v>2333.28276</v>
      </c>
      <c r="I26" s="6">
        <v>2111.19372</v>
      </c>
      <c r="J26" s="6">
        <v>2866.40208</v>
      </c>
      <c r="K26" s="6">
        <v>2022.80004</v>
      </c>
      <c r="L26" s="6">
        <v>2344.2834673</v>
      </c>
      <c r="M26" s="6">
        <v>3766.2171117</v>
      </c>
      <c r="N26" s="6">
        <v>2988.8485077</v>
      </c>
      <c r="O26" s="6">
        <v>2988.8485077</v>
      </c>
      <c r="P26" s="9">
        <v>32352.3369544</v>
      </c>
      <c r="Q26" s="11">
        <f t="shared" si="4"/>
        <v>3304.7028</v>
      </c>
      <c r="R26" s="11">
        <f t="shared" si="5"/>
        <v>2636.44956</v>
      </c>
      <c r="S26" s="11">
        <f t="shared" si="6"/>
        <v>2685.32172</v>
      </c>
      <c r="T26" s="11">
        <f t="shared" si="7"/>
        <v>2303.98668</v>
      </c>
      <c r="U26" s="11">
        <f t="shared" si="8"/>
        <v>2333.28276</v>
      </c>
      <c r="V26" s="11">
        <f t="shared" si="9"/>
        <v>2111.19372</v>
      </c>
      <c r="W26" s="11">
        <f t="shared" si="10"/>
        <v>2866.40208</v>
      </c>
      <c r="X26" s="11">
        <f t="shared" si="11"/>
        <v>2022.80004</v>
      </c>
      <c r="Y26" s="11">
        <f t="shared" si="12"/>
        <v>2344.2834673</v>
      </c>
      <c r="Z26" s="11">
        <f t="shared" si="13"/>
        <v>3766.2171117</v>
      </c>
      <c r="AA26" s="11">
        <f t="shared" si="14"/>
        <v>2988.8485077</v>
      </c>
      <c r="AB26" s="11">
        <f t="shared" si="15"/>
        <v>2988.8485077</v>
      </c>
      <c r="AC26" s="13">
        <f t="shared" si="1"/>
        <v>32352.3369544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3">
        <f t="shared" si="2"/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3">
        <f t="shared" si="3"/>
        <v>0</v>
      </c>
    </row>
    <row r="27" spans="1:55">
      <c r="A27" s="4" t="s">
        <v>23</v>
      </c>
      <c r="B27" s="4" t="s">
        <v>72</v>
      </c>
      <c r="C27" s="4" t="s">
        <v>73</v>
      </c>
      <c r="D27" s="6">
        <v>3406.283118</v>
      </c>
      <c r="E27" s="6">
        <v>3972.58668</v>
      </c>
      <c r="F27" s="6">
        <v>4429.30356</v>
      </c>
      <c r="G27" s="6">
        <v>2963.5956</v>
      </c>
      <c r="H27" s="6">
        <v>4780.863</v>
      </c>
      <c r="I27" s="6">
        <v>2949.7446</v>
      </c>
      <c r="J27" s="6">
        <v>5280.309</v>
      </c>
      <c r="K27" s="6">
        <v>3922.506</v>
      </c>
      <c r="L27" s="6">
        <v>4069.633376</v>
      </c>
      <c r="M27" s="6">
        <v>6538.0842687</v>
      </c>
      <c r="N27" s="6">
        <v>5188.5865393</v>
      </c>
      <c r="O27" s="6">
        <v>5188.5865393</v>
      </c>
      <c r="P27" s="9">
        <v>52690.0822813</v>
      </c>
      <c r="Q27" s="11">
        <f t="shared" si="4"/>
        <v>0</v>
      </c>
      <c r="R27" s="11">
        <f t="shared" si="5"/>
        <v>0</v>
      </c>
      <c r="S27" s="11">
        <f t="shared" si="6"/>
        <v>0</v>
      </c>
      <c r="T27" s="11">
        <f t="shared" si="7"/>
        <v>0</v>
      </c>
      <c r="U27" s="11">
        <f t="shared" si="8"/>
        <v>0</v>
      </c>
      <c r="V27" s="11">
        <f t="shared" si="9"/>
        <v>0</v>
      </c>
      <c r="W27" s="11">
        <f t="shared" si="10"/>
        <v>0</v>
      </c>
      <c r="X27" s="11">
        <f t="shared" si="11"/>
        <v>0</v>
      </c>
      <c r="Y27" s="11">
        <f t="shared" si="12"/>
        <v>0</v>
      </c>
      <c r="Z27" s="11">
        <f t="shared" si="13"/>
        <v>0</v>
      </c>
      <c r="AA27" s="11">
        <f t="shared" si="14"/>
        <v>0</v>
      </c>
      <c r="AB27" s="11">
        <f t="shared" si="15"/>
        <v>0</v>
      </c>
      <c r="AC27" s="13">
        <f t="shared" si="1"/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3">
        <f t="shared" si="2"/>
        <v>0</v>
      </c>
      <c r="AQ27" s="16">
        <v>3406.283118</v>
      </c>
      <c r="AR27" s="16">
        <v>3972.58668</v>
      </c>
      <c r="AS27" s="16">
        <v>4429.30356</v>
      </c>
      <c r="AT27" s="16">
        <v>2963.5956</v>
      </c>
      <c r="AU27" s="16">
        <v>4780.863</v>
      </c>
      <c r="AV27" s="16">
        <v>2949.7446</v>
      </c>
      <c r="AW27" s="16">
        <v>5280.309</v>
      </c>
      <c r="AX27" s="16">
        <v>3922.506</v>
      </c>
      <c r="AY27" s="16">
        <v>4069.633376</v>
      </c>
      <c r="AZ27" s="16">
        <v>6538.0842687</v>
      </c>
      <c r="BA27" s="16">
        <v>5188.5865393</v>
      </c>
      <c r="BB27" s="16">
        <v>5188.5865393</v>
      </c>
      <c r="BC27" s="13">
        <f t="shared" si="3"/>
        <v>52690.0822813</v>
      </c>
    </row>
    <row r="28" spans="1:55">
      <c r="A28" s="4" t="s">
        <v>23</v>
      </c>
      <c r="B28" s="4" t="s">
        <v>74</v>
      </c>
      <c r="C28" s="4" t="s">
        <v>75</v>
      </c>
      <c r="D28" s="6">
        <v>5536.1740896</v>
      </c>
      <c r="E28" s="6">
        <v>9622.29312</v>
      </c>
      <c r="F28" s="6">
        <v>14016.442176</v>
      </c>
      <c r="G28" s="6">
        <v>10869.902208</v>
      </c>
      <c r="H28" s="6">
        <v>8226.88416</v>
      </c>
      <c r="I28" s="6">
        <v>9626.658624</v>
      </c>
      <c r="J28" s="6">
        <v>12459.097728</v>
      </c>
      <c r="K28" s="6">
        <v>7542.171648</v>
      </c>
      <c r="L28" s="6">
        <v>9921.7620501</v>
      </c>
      <c r="M28" s="6">
        <v>15939.8428272</v>
      </c>
      <c r="N28" s="6">
        <v>12649.7687292</v>
      </c>
      <c r="O28" s="6">
        <v>12649.7687292</v>
      </c>
      <c r="P28" s="9">
        <v>129060.7660893</v>
      </c>
      <c r="Q28" s="11">
        <f t="shared" si="4"/>
        <v>0</v>
      </c>
      <c r="R28" s="11">
        <f t="shared" si="5"/>
        <v>0</v>
      </c>
      <c r="S28" s="11">
        <f t="shared" si="6"/>
        <v>0</v>
      </c>
      <c r="T28" s="11">
        <f t="shared" si="7"/>
        <v>0</v>
      </c>
      <c r="U28" s="11">
        <f t="shared" si="8"/>
        <v>0</v>
      </c>
      <c r="V28" s="11">
        <f t="shared" si="9"/>
        <v>0</v>
      </c>
      <c r="W28" s="11">
        <f t="shared" si="10"/>
        <v>0</v>
      </c>
      <c r="X28" s="11">
        <f t="shared" si="11"/>
        <v>0</v>
      </c>
      <c r="Y28" s="11">
        <f t="shared" si="12"/>
        <v>0</v>
      </c>
      <c r="Z28" s="11">
        <f t="shared" si="13"/>
        <v>0</v>
      </c>
      <c r="AA28" s="11">
        <f t="shared" si="14"/>
        <v>0</v>
      </c>
      <c r="AB28" s="11">
        <f t="shared" si="15"/>
        <v>0</v>
      </c>
      <c r="AC28" s="13">
        <f t="shared" si="1"/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3">
        <f t="shared" si="2"/>
        <v>0</v>
      </c>
      <c r="AQ28" s="16">
        <v>5536.1740896</v>
      </c>
      <c r="AR28" s="16">
        <v>9622.29312</v>
      </c>
      <c r="AS28" s="16">
        <v>14016.442176</v>
      </c>
      <c r="AT28" s="16">
        <v>10869.902208</v>
      </c>
      <c r="AU28" s="16">
        <v>8226.88416</v>
      </c>
      <c r="AV28" s="16">
        <v>9626.658624</v>
      </c>
      <c r="AW28" s="16">
        <v>12459.097728</v>
      </c>
      <c r="AX28" s="16">
        <v>7542.171648</v>
      </c>
      <c r="AY28" s="16">
        <v>9921.7620501</v>
      </c>
      <c r="AZ28" s="16">
        <v>15939.8428272</v>
      </c>
      <c r="BA28" s="16">
        <v>12649.7687292</v>
      </c>
      <c r="BB28" s="16">
        <v>12649.7687292</v>
      </c>
      <c r="BC28" s="13">
        <f t="shared" si="3"/>
        <v>129060.7660893</v>
      </c>
    </row>
    <row r="29" spans="1:55">
      <c r="A29" s="4" t="s">
        <v>23</v>
      </c>
      <c r="B29" s="4" t="s">
        <v>76</v>
      </c>
      <c r="C29" s="4" t="s">
        <v>77</v>
      </c>
      <c r="D29" s="6">
        <v>99.153936</v>
      </c>
      <c r="E29" s="6">
        <v>89.54784</v>
      </c>
      <c r="F29" s="6">
        <v>78.23232</v>
      </c>
      <c r="G29" s="6">
        <v>84.24576</v>
      </c>
      <c r="H29" s="6">
        <v>101.664</v>
      </c>
      <c r="I29" s="6">
        <v>82.70208</v>
      </c>
      <c r="J29" s="6">
        <v>64.05408</v>
      </c>
      <c r="K29" s="6">
        <v>40.69152</v>
      </c>
      <c r="L29" s="6">
        <v>62.7722356</v>
      </c>
      <c r="M29" s="6">
        <v>100.846963</v>
      </c>
      <c r="N29" s="6">
        <v>80.031577</v>
      </c>
      <c r="O29" s="6">
        <v>80.031577</v>
      </c>
      <c r="P29" s="9">
        <v>963.9738886</v>
      </c>
      <c r="Q29" s="11">
        <f t="shared" si="4"/>
        <v>99.153936</v>
      </c>
      <c r="R29" s="11">
        <f t="shared" si="5"/>
        <v>89.54784</v>
      </c>
      <c r="S29" s="11">
        <f t="shared" si="6"/>
        <v>78.23232</v>
      </c>
      <c r="T29" s="11">
        <f t="shared" si="7"/>
        <v>84.24576</v>
      </c>
      <c r="U29" s="11">
        <f t="shared" si="8"/>
        <v>101.664</v>
      </c>
      <c r="V29" s="11">
        <f t="shared" si="9"/>
        <v>82.70208</v>
      </c>
      <c r="W29" s="11">
        <f t="shared" si="10"/>
        <v>64.05408</v>
      </c>
      <c r="X29" s="11">
        <f t="shared" si="11"/>
        <v>40.69152</v>
      </c>
      <c r="Y29" s="11">
        <f t="shared" si="12"/>
        <v>62.7722356</v>
      </c>
      <c r="Z29" s="11">
        <f t="shared" si="13"/>
        <v>100.846963</v>
      </c>
      <c r="AA29" s="11">
        <f t="shared" si="14"/>
        <v>80.031577</v>
      </c>
      <c r="AB29" s="11">
        <f t="shared" si="15"/>
        <v>80.031577</v>
      </c>
      <c r="AC29" s="13">
        <f t="shared" si="1"/>
        <v>963.9738886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3">
        <f t="shared" si="2"/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3">
        <f t="shared" si="3"/>
        <v>0</v>
      </c>
    </row>
    <row r="30" spans="1:55">
      <c r="A30" s="4" t="s">
        <v>23</v>
      </c>
      <c r="B30" s="4" t="s">
        <v>78</v>
      </c>
      <c r="C30" s="4" t="s">
        <v>79</v>
      </c>
      <c r="D30" s="6">
        <v>2996.437374</v>
      </c>
      <c r="E30" s="6">
        <v>2615.49</v>
      </c>
      <c r="F30" s="6">
        <v>7897.00428</v>
      </c>
      <c r="G30" s="6">
        <v>7219.11204</v>
      </c>
      <c r="H30" s="6">
        <v>3768.93648</v>
      </c>
      <c r="I30" s="6">
        <v>5769.82764</v>
      </c>
      <c r="J30" s="6">
        <v>8817.2226</v>
      </c>
      <c r="K30" s="6">
        <v>4937.9382</v>
      </c>
      <c r="L30" s="6">
        <v>6538.5027712</v>
      </c>
      <c r="M30" s="6">
        <v>10504.455355</v>
      </c>
      <c r="N30" s="6">
        <v>8336.2761043</v>
      </c>
      <c r="O30" s="6">
        <v>8336.2761043</v>
      </c>
      <c r="P30" s="9">
        <v>77737.4789488</v>
      </c>
      <c r="Q30" s="11">
        <f t="shared" si="4"/>
        <v>2996.437374</v>
      </c>
      <c r="R30" s="11">
        <f t="shared" si="5"/>
        <v>2615.49</v>
      </c>
      <c r="S30" s="11">
        <f t="shared" si="6"/>
        <v>7897.00428</v>
      </c>
      <c r="T30" s="11">
        <f t="shared" si="7"/>
        <v>7219.11204</v>
      </c>
      <c r="U30" s="11">
        <f t="shared" si="8"/>
        <v>3768.93648</v>
      </c>
      <c r="V30" s="11">
        <f t="shared" si="9"/>
        <v>5769.82764</v>
      </c>
      <c r="W30" s="11">
        <f t="shared" si="10"/>
        <v>8817.2226</v>
      </c>
      <c r="X30" s="11">
        <f t="shared" si="11"/>
        <v>4937.9382</v>
      </c>
      <c r="Y30" s="11">
        <f t="shared" si="12"/>
        <v>6538.5027712</v>
      </c>
      <c r="Z30" s="11">
        <f t="shared" si="13"/>
        <v>10504.455355</v>
      </c>
      <c r="AA30" s="11">
        <f t="shared" si="14"/>
        <v>8336.2761043</v>
      </c>
      <c r="AB30" s="11">
        <f t="shared" si="15"/>
        <v>8336.2761043</v>
      </c>
      <c r="AC30" s="13">
        <f t="shared" si="1"/>
        <v>77737.4789488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3">
        <f t="shared" si="2"/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3">
        <f t="shared" si="3"/>
        <v>0</v>
      </c>
    </row>
    <row r="31" spans="1:55">
      <c r="A31" s="4" t="s">
        <v>23</v>
      </c>
      <c r="B31" s="4" t="s">
        <v>80</v>
      </c>
      <c r="C31" s="4" t="s">
        <v>81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9">
        <v>0</v>
      </c>
      <c r="Q31" s="11">
        <f t="shared" si="4"/>
        <v>0</v>
      </c>
      <c r="R31" s="11">
        <f t="shared" si="5"/>
        <v>0</v>
      </c>
      <c r="S31" s="11">
        <f t="shared" si="6"/>
        <v>0</v>
      </c>
      <c r="T31" s="11">
        <f t="shared" si="7"/>
        <v>0</v>
      </c>
      <c r="U31" s="11">
        <f t="shared" si="8"/>
        <v>0</v>
      </c>
      <c r="V31" s="11">
        <f t="shared" si="9"/>
        <v>0</v>
      </c>
      <c r="W31" s="11">
        <f t="shared" si="10"/>
        <v>0</v>
      </c>
      <c r="X31" s="11">
        <f t="shared" si="11"/>
        <v>0</v>
      </c>
      <c r="Y31" s="11">
        <f t="shared" si="12"/>
        <v>0</v>
      </c>
      <c r="Z31" s="11">
        <f t="shared" si="13"/>
        <v>0</v>
      </c>
      <c r="AA31" s="11">
        <f t="shared" si="14"/>
        <v>0</v>
      </c>
      <c r="AB31" s="11">
        <f t="shared" si="15"/>
        <v>0</v>
      </c>
      <c r="AC31" s="13">
        <f t="shared" si="1"/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3">
        <f t="shared" si="2"/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3">
        <f t="shared" si="3"/>
        <v>0</v>
      </c>
    </row>
    <row r="32" spans="1:55">
      <c r="A32" s="4" t="s">
        <v>23</v>
      </c>
      <c r="B32" s="4" t="s">
        <v>82</v>
      </c>
      <c r="C32" s="4" t="s">
        <v>83</v>
      </c>
      <c r="D32" s="6">
        <v>1016.946252</v>
      </c>
      <c r="E32" s="6">
        <v>830.58048</v>
      </c>
      <c r="F32" s="6">
        <v>999.04752</v>
      </c>
      <c r="G32" s="6">
        <v>882.11268</v>
      </c>
      <c r="H32" s="6">
        <v>750.29004</v>
      </c>
      <c r="I32" s="6">
        <v>565.72668</v>
      </c>
      <c r="J32" s="6">
        <v>816.20136</v>
      </c>
      <c r="K32" s="6">
        <v>976.5522</v>
      </c>
      <c r="L32" s="6">
        <v>789.8047998</v>
      </c>
      <c r="M32" s="6">
        <v>1268.8637672</v>
      </c>
      <c r="N32" s="6">
        <v>1006.9630785</v>
      </c>
      <c r="O32" s="6">
        <v>1006.9630785</v>
      </c>
      <c r="P32" s="9">
        <v>10910.051936</v>
      </c>
      <c r="Q32" s="11">
        <f t="shared" si="4"/>
        <v>1016.946252</v>
      </c>
      <c r="R32" s="11">
        <f t="shared" si="5"/>
        <v>830.58048</v>
      </c>
      <c r="S32" s="11">
        <f t="shared" si="6"/>
        <v>999.04752</v>
      </c>
      <c r="T32" s="11">
        <f t="shared" si="7"/>
        <v>882.11268</v>
      </c>
      <c r="U32" s="11">
        <f t="shared" si="8"/>
        <v>750.29004</v>
      </c>
      <c r="V32" s="11">
        <f t="shared" si="9"/>
        <v>565.72668</v>
      </c>
      <c r="W32" s="11">
        <f t="shared" si="10"/>
        <v>816.20136</v>
      </c>
      <c r="X32" s="11">
        <f t="shared" si="11"/>
        <v>976.5522</v>
      </c>
      <c r="Y32" s="11">
        <f t="shared" si="12"/>
        <v>789.8047998</v>
      </c>
      <c r="Z32" s="11">
        <f t="shared" si="13"/>
        <v>1268.8637672</v>
      </c>
      <c r="AA32" s="11">
        <f t="shared" si="14"/>
        <v>1006.9630785</v>
      </c>
      <c r="AB32" s="11">
        <f t="shared" si="15"/>
        <v>1006.9630785</v>
      </c>
      <c r="AC32" s="13">
        <f t="shared" si="1"/>
        <v>10910.051936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3">
        <f t="shared" si="2"/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3">
        <f t="shared" si="3"/>
        <v>0</v>
      </c>
    </row>
    <row r="33" spans="1:55">
      <c r="A33" s="4" t="s">
        <v>23</v>
      </c>
      <c r="B33" s="4" t="s">
        <v>84</v>
      </c>
      <c r="C33" s="4" t="s">
        <v>85</v>
      </c>
      <c r="D33" s="6">
        <v>1329.4181376</v>
      </c>
      <c r="E33" s="6">
        <v>929.341728</v>
      </c>
      <c r="F33" s="6">
        <v>1229.655168</v>
      </c>
      <c r="G33" s="6">
        <v>1263.333456</v>
      </c>
      <c r="H33" s="6">
        <v>1136.186352</v>
      </c>
      <c r="I33" s="6">
        <v>1446.221952</v>
      </c>
      <c r="J33" s="6">
        <v>1158.004512</v>
      </c>
      <c r="K33" s="6">
        <v>806.413104</v>
      </c>
      <c r="L33" s="6">
        <v>1142.1505491</v>
      </c>
      <c r="M33" s="6">
        <v>1834.9261094</v>
      </c>
      <c r="N33" s="6">
        <v>1456.186938</v>
      </c>
      <c r="O33" s="6">
        <v>1456.186938</v>
      </c>
      <c r="P33" s="9">
        <v>15188.0249441</v>
      </c>
      <c r="Q33" s="11">
        <f t="shared" si="4"/>
        <v>1329.4181376</v>
      </c>
      <c r="R33" s="11">
        <f t="shared" si="5"/>
        <v>929.341728</v>
      </c>
      <c r="S33" s="11">
        <f t="shared" si="6"/>
        <v>1229.655168</v>
      </c>
      <c r="T33" s="11">
        <f t="shared" si="7"/>
        <v>1263.333456</v>
      </c>
      <c r="U33" s="11">
        <f t="shared" si="8"/>
        <v>1136.186352</v>
      </c>
      <c r="V33" s="11">
        <f t="shared" si="9"/>
        <v>1446.221952</v>
      </c>
      <c r="W33" s="11">
        <f t="shared" si="10"/>
        <v>1158.004512</v>
      </c>
      <c r="X33" s="11">
        <f t="shared" si="11"/>
        <v>806.413104</v>
      </c>
      <c r="Y33" s="11">
        <f t="shared" si="12"/>
        <v>1142.1505491</v>
      </c>
      <c r="Z33" s="11">
        <f t="shared" si="13"/>
        <v>1834.9261094</v>
      </c>
      <c r="AA33" s="11">
        <f t="shared" si="14"/>
        <v>1456.186938</v>
      </c>
      <c r="AB33" s="11">
        <f t="shared" si="15"/>
        <v>1456.186938</v>
      </c>
      <c r="AC33" s="13">
        <f t="shared" si="1"/>
        <v>15188.0249441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3">
        <f t="shared" si="2"/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3">
        <f t="shared" si="3"/>
        <v>0</v>
      </c>
    </row>
    <row r="34" spans="1:55">
      <c r="A34" s="4" t="s">
        <v>23</v>
      </c>
      <c r="B34" s="4" t="s">
        <v>86</v>
      </c>
      <c r="C34" s="4" t="s">
        <v>87</v>
      </c>
      <c r="D34" s="6">
        <v>38779.529796</v>
      </c>
      <c r="E34" s="6">
        <v>32753.1578031</v>
      </c>
      <c r="F34" s="6">
        <v>22213.8102912</v>
      </c>
      <c r="G34" s="6">
        <v>43889.30436</v>
      </c>
      <c r="H34" s="6">
        <v>49839.0049982</v>
      </c>
      <c r="I34" s="6">
        <v>37918.5301984</v>
      </c>
      <c r="J34" s="6">
        <v>48016.1641872</v>
      </c>
      <c r="K34" s="6">
        <v>70981.6617714</v>
      </c>
      <c r="L34" s="6">
        <v>55361.9459015</v>
      </c>
      <c r="M34" s="6">
        <v>53707.0706665</v>
      </c>
      <c r="N34" s="6">
        <v>40475.2021929</v>
      </c>
      <c r="O34" s="6">
        <v>43250.5676981</v>
      </c>
      <c r="P34" s="9">
        <v>537185.9498645</v>
      </c>
      <c r="Q34" s="11">
        <f t="shared" si="4"/>
        <v>38779.529796</v>
      </c>
      <c r="R34" s="11">
        <f t="shared" si="5"/>
        <v>32753.1578031</v>
      </c>
      <c r="S34" s="11">
        <f t="shared" si="6"/>
        <v>22213.8102912</v>
      </c>
      <c r="T34" s="11">
        <f t="shared" si="7"/>
        <v>43889.30436</v>
      </c>
      <c r="U34" s="11">
        <f t="shared" si="8"/>
        <v>49839.0049982</v>
      </c>
      <c r="V34" s="11">
        <f t="shared" si="9"/>
        <v>37918.5301984</v>
      </c>
      <c r="W34" s="11">
        <f t="shared" si="10"/>
        <v>48016.1641872</v>
      </c>
      <c r="X34" s="11">
        <f t="shared" si="11"/>
        <v>70981.6617714</v>
      </c>
      <c r="Y34" s="11">
        <f t="shared" si="12"/>
        <v>55361.9459015</v>
      </c>
      <c r="Z34" s="11">
        <f t="shared" si="13"/>
        <v>53707.0706665</v>
      </c>
      <c r="AA34" s="11">
        <f t="shared" si="14"/>
        <v>40475.2021929</v>
      </c>
      <c r="AB34" s="11">
        <f t="shared" si="15"/>
        <v>43250.5676981</v>
      </c>
      <c r="AC34" s="13">
        <f t="shared" si="1"/>
        <v>537185.9498645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3">
        <f t="shared" si="2"/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3">
        <f t="shared" si="3"/>
        <v>0</v>
      </c>
    </row>
    <row r="35" spans="1:55">
      <c r="A35" s="4" t="s">
        <v>23</v>
      </c>
      <c r="B35" s="4" t="s">
        <v>88</v>
      </c>
      <c r="C35" s="4" t="s">
        <v>89</v>
      </c>
      <c r="D35" s="6">
        <v>628.217856</v>
      </c>
      <c r="E35" s="6">
        <v>220.29696</v>
      </c>
      <c r="F35" s="6">
        <v>1087.93728</v>
      </c>
      <c r="G35" s="6">
        <v>636.5376</v>
      </c>
      <c r="H35" s="6">
        <v>316.4256</v>
      </c>
      <c r="I35" s="6">
        <v>550.33056</v>
      </c>
      <c r="J35" s="6">
        <v>327.13056</v>
      </c>
      <c r="K35" s="6">
        <v>95.49504</v>
      </c>
      <c r="L35" s="6">
        <v>325.8222953</v>
      </c>
      <c r="M35" s="6">
        <v>523.4509908</v>
      </c>
      <c r="N35" s="6">
        <v>415.4077331</v>
      </c>
      <c r="O35" s="6">
        <v>415.4077331</v>
      </c>
      <c r="P35" s="9">
        <v>5542.4602083</v>
      </c>
      <c r="Q35" s="11">
        <f t="shared" si="4"/>
        <v>628.217856</v>
      </c>
      <c r="R35" s="11">
        <f t="shared" si="5"/>
        <v>220.29696</v>
      </c>
      <c r="S35" s="11">
        <f t="shared" si="6"/>
        <v>1087.93728</v>
      </c>
      <c r="T35" s="11">
        <f t="shared" si="7"/>
        <v>636.5376</v>
      </c>
      <c r="U35" s="11">
        <f t="shared" si="8"/>
        <v>316.4256</v>
      </c>
      <c r="V35" s="11">
        <f t="shared" si="9"/>
        <v>550.33056</v>
      </c>
      <c r="W35" s="11">
        <f t="shared" si="10"/>
        <v>327.13056</v>
      </c>
      <c r="X35" s="11">
        <f t="shared" si="11"/>
        <v>95.49504</v>
      </c>
      <c r="Y35" s="11">
        <f t="shared" si="12"/>
        <v>325.8222953</v>
      </c>
      <c r="Z35" s="11">
        <f t="shared" si="13"/>
        <v>523.4509908</v>
      </c>
      <c r="AA35" s="11">
        <f t="shared" si="14"/>
        <v>415.4077331</v>
      </c>
      <c r="AB35" s="11">
        <f t="shared" si="15"/>
        <v>415.4077331</v>
      </c>
      <c r="AC35" s="13">
        <f t="shared" si="1"/>
        <v>5542.4602083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3">
        <f t="shared" si="2"/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3">
        <f t="shared" si="3"/>
        <v>0</v>
      </c>
    </row>
    <row r="36" spans="1:55">
      <c r="A36" s="4" t="s">
        <v>23</v>
      </c>
      <c r="B36" s="4" t="s">
        <v>90</v>
      </c>
      <c r="C36" s="4" t="s">
        <v>91</v>
      </c>
      <c r="D36" s="6">
        <v>544.147632</v>
      </c>
      <c r="E36" s="6">
        <v>690.60096</v>
      </c>
      <c r="F36" s="6">
        <v>989.68896</v>
      </c>
      <c r="G36" s="6">
        <v>1584.07488</v>
      </c>
      <c r="H36" s="6">
        <v>1081.75392</v>
      </c>
      <c r="I36" s="6">
        <v>168.63264</v>
      </c>
      <c r="J36" s="6">
        <v>2717.49024</v>
      </c>
      <c r="K36" s="6">
        <v>1145.61504</v>
      </c>
      <c r="L36" s="6">
        <v>1350.1431585</v>
      </c>
      <c r="M36" s="6">
        <v>2169.0773909</v>
      </c>
      <c r="N36" s="6">
        <v>1721.3674971</v>
      </c>
      <c r="O36" s="6">
        <v>1721.3674971</v>
      </c>
      <c r="P36" s="9">
        <v>15883.9598156</v>
      </c>
      <c r="Q36" s="11">
        <f t="shared" si="4"/>
        <v>544.147632</v>
      </c>
      <c r="R36" s="11">
        <f t="shared" si="5"/>
        <v>690.60096</v>
      </c>
      <c r="S36" s="11">
        <f t="shared" si="6"/>
        <v>989.68896</v>
      </c>
      <c r="T36" s="11">
        <f t="shared" si="7"/>
        <v>1584.07488</v>
      </c>
      <c r="U36" s="11">
        <f t="shared" si="8"/>
        <v>1081.75392</v>
      </c>
      <c r="V36" s="11">
        <f t="shared" si="9"/>
        <v>168.63264</v>
      </c>
      <c r="W36" s="11">
        <f t="shared" si="10"/>
        <v>2717.49024</v>
      </c>
      <c r="X36" s="11">
        <f t="shared" si="11"/>
        <v>1145.61504</v>
      </c>
      <c r="Y36" s="11">
        <f t="shared" si="12"/>
        <v>1350.1431585</v>
      </c>
      <c r="Z36" s="11">
        <f t="shared" si="13"/>
        <v>2169.0773909</v>
      </c>
      <c r="AA36" s="11">
        <f t="shared" si="14"/>
        <v>1721.3674971</v>
      </c>
      <c r="AB36" s="11">
        <f t="shared" si="15"/>
        <v>1721.3674971</v>
      </c>
      <c r="AC36" s="13">
        <f t="shared" si="1"/>
        <v>15883.9598156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3">
        <f t="shared" si="2"/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3">
        <f t="shared" si="3"/>
        <v>0</v>
      </c>
    </row>
    <row r="37" spans="1:55">
      <c r="A37" s="4" t="s">
        <v>23</v>
      </c>
      <c r="B37" s="4" t="s">
        <v>92</v>
      </c>
      <c r="C37" s="4" t="s">
        <v>93</v>
      </c>
      <c r="D37" s="6">
        <v>18305.655102</v>
      </c>
      <c r="E37" s="6">
        <v>23318.69472</v>
      </c>
      <c r="F37" s="6">
        <v>26816.23584</v>
      </c>
      <c r="G37" s="6">
        <v>18533.66184</v>
      </c>
      <c r="H37" s="6">
        <v>16775.17776</v>
      </c>
      <c r="I37" s="6">
        <v>21005.34444</v>
      </c>
      <c r="J37" s="6">
        <v>27810.74736</v>
      </c>
      <c r="K37" s="6">
        <v>18757.32228</v>
      </c>
      <c r="L37" s="6">
        <v>22628.8971479</v>
      </c>
      <c r="M37" s="6">
        <v>36354.536832</v>
      </c>
      <c r="N37" s="6">
        <v>28850.7539358</v>
      </c>
      <c r="O37" s="6">
        <v>28850.7539358</v>
      </c>
      <c r="P37" s="9">
        <v>288007.7811935</v>
      </c>
      <c r="Q37" s="11">
        <f t="shared" si="4"/>
        <v>0</v>
      </c>
      <c r="R37" s="11">
        <f t="shared" si="5"/>
        <v>0</v>
      </c>
      <c r="S37" s="11">
        <f t="shared" si="6"/>
        <v>0</v>
      </c>
      <c r="T37" s="11">
        <f t="shared" si="7"/>
        <v>0</v>
      </c>
      <c r="U37" s="11">
        <f t="shared" si="8"/>
        <v>0</v>
      </c>
      <c r="V37" s="11">
        <f t="shared" si="9"/>
        <v>0</v>
      </c>
      <c r="W37" s="11">
        <f t="shared" si="10"/>
        <v>0</v>
      </c>
      <c r="X37" s="11">
        <f t="shared" si="11"/>
        <v>0</v>
      </c>
      <c r="Y37" s="11">
        <f t="shared" si="12"/>
        <v>0</v>
      </c>
      <c r="Z37" s="11">
        <f t="shared" si="13"/>
        <v>0</v>
      </c>
      <c r="AA37" s="11">
        <f t="shared" si="14"/>
        <v>0</v>
      </c>
      <c r="AB37" s="11">
        <f t="shared" si="15"/>
        <v>0</v>
      </c>
      <c r="AC37" s="13">
        <f t="shared" si="1"/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3">
        <f t="shared" si="2"/>
        <v>0</v>
      </c>
      <c r="AQ37" s="16">
        <v>18305.655102</v>
      </c>
      <c r="AR37" s="16">
        <v>23318.69472</v>
      </c>
      <c r="AS37" s="16">
        <v>26816.23584</v>
      </c>
      <c r="AT37" s="16">
        <v>18533.66184</v>
      </c>
      <c r="AU37" s="16">
        <v>16775.17776</v>
      </c>
      <c r="AV37" s="16">
        <v>21005.34444</v>
      </c>
      <c r="AW37" s="16">
        <v>27810.74736</v>
      </c>
      <c r="AX37" s="16">
        <v>18757.32228</v>
      </c>
      <c r="AY37" s="16">
        <v>22628.8971479</v>
      </c>
      <c r="AZ37" s="16">
        <v>36354.536832</v>
      </c>
      <c r="BA37" s="16">
        <v>28850.7539358</v>
      </c>
      <c r="BB37" s="16">
        <v>28850.7539358</v>
      </c>
      <c r="BC37" s="13">
        <f t="shared" si="3"/>
        <v>288007.7811935</v>
      </c>
    </row>
    <row r="38" spans="1:55">
      <c r="A38" s="4" t="s">
        <v>23</v>
      </c>
      <c r="B38" s="4" t="s">
        <v>94</v>
      </c>
      <c r="C38" s="4" t="s">
        <v>95</v>
      </c>
      <c r="D38" s="6">
        <v>7601.510448</v>
      </c>
      <c r="E38" s="6">
        <v>9337.44996</v>
      </c>
      <c r="F38" s="6">
        <v>9746.76888</v>
      </c>
      <c r="G38" s="6">
        <v>6272.8344</v>
      </c>
      <c r="H38" s="6">
        <v>3028.79412</v>
      </c>
      <c r="I38" s="6">
        <v>7356.73104</v>
      </c>
      <c r="J38" s="6">
        <v>9738.75636</v>
      </c>
      <c r="K38" s="6">
        <v>5807.67732</v>
      </c>
      <c r="L38" s="6">
        <v>7669.7820566</v>
      </c>
      <c r="M38" s="6">
        <v>12321.9161962</v>
      </c>
      <c r="N38" s="6">
        <v>9778.6027047</v>
      </c>
      <c r="O38" s="6">
        <v>9778.6027047</v>
      </c>
      <c r="P38" s="9">
        <v>98439.4261902</v>
      </c>
      <c r="Q38" s="11">
        <f t="shared" si="4"/>
        <v>0</v>
      </c>
      <c r="R38" s="11">
        <f t="shared" si="5"/>
        <v>0</v>
      </c>
      <c r="S38" s="11">
        <f t="shared" si="6"/>
        <v>0</v>
      </c>
      <c r="T38" s="11">
        <f t="shared" si="7"/>
        <v>0</v>
      </c>
      <c r="U38" s="11">
        <f t="shared" si="8"/>
        <v>0</v>
      </c>
      <c r="V38" s="11">
        <f t="shared" si="9"/>
        <v>0</v>
      </c>
      <c r="W38" s="11">
        <f t="shared" si="10"/>
        <v>0</v>
      </c>
      <c r="X38" s="11">
        <f t="shared" si="11"/>
        <v>0</v>
      </c>
      <c r="Y38" s="11">
        <f t="shared" si="12"/>
        <v>0</v>
      </c>
      <c r="Z38" s="11">
        <f t="shared" si="13"/>
        <v>0</v>
      </c>
      <c r="AA38" s="11">
        <f t="shared" si="14"/>
        <v>0</v>
      </c>
      <c r="AB38" s="11">
        <f t="shared" si="15"/>
        <v>0</v>
      </c>
      <c r="AC38" s="13">
        <f t="shared" si="1"/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3">
        <f t="shared" si="2"/>
        <v>0</v>
      </c>
      <c r="AQ38" s="16">
        <v>7601.510448</v>
      </c>
      <c r="AR38" s="16">
        <v>9337.44996</v>
      </c>
      <c r="AS38" s="16">
        <v>9746.76888</v>
      </c>
      <c r="AT38" s="16">
        <v>6272.8344</v>
      </c>
      <c r="AU38" s="16">
        <v>3028.79412</v>
      </c>
      <c r="AV38" s="16">
        <v>7356.73104</v>
      </c>
      <c r="AW38" s="16">
        <v>9738.75636</v>
      </c>
      <c r="AX38" s="16">
        <v>5807.67732</v>
      </c>
      <c r="AY38" s="16">
        <v>7669.7820566</v>
      </c>
      <c r="AZ38" s="16">
        <v>12321.9161962</v>
      </c>
      <c r="BA38" s="16">
        <v>9778.6027047</v>
      </c>
      <c r="BB38" s="16">
        <v>9778.6027047</v>
      </c>
      <c r="BC38" s="13">
        <f t="shared" si="3"/>
        <v>98439.4261902</v>
      </c>
    </row>
    <row r="39" spans="1:55">
      <c r="A39" s="4" t="s">
        <v>23</v>
      </c>
      <c r="B39" s="4" t="s">
        <v>96</v>
      </c>
      <c r="C39" s="4" t="s">
        <v>97</v>
      </c>
      <c r="D39" s="6">
        <v>1340</v>
      </c>
      <c r="E39" s="6">
        <v>1050</v>
      </c>
      <c r="F39" s="6">
        <v>1250</v>
      </c>
      <c r="G39" s="6">
        <v>1430</v>
      </c>
      <c r="H39" s="6">
        <v>280</v>
      </c>
      <c r="I39" s="6">
        <v>1740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9">
        <v>7090</v>
      </c>
      <c r="Q39" s="11">
        <f t="shared" si="4"/>
        <v>1340</v>
      </c>
      <c r="R39" s="11">
        <f t="shared" si="5"/>
        <v>1050</v>
      </c>
      <c r="S39" s="11">
        <f t="shared" si="6"/>
        <v>1250</v>
      </c>
      <c r="T39" s="11">
        <f t="shared" si="7"/>
        <v>1430</v>
      </c>
      <c r="U39" s="11">
        <f t="shared" si="8"/>
        <v>280</v>
      </c>
      <c r="V39" s="11">
        <f t="shared" si="9"/>
        <v>1740</v>
      </c>
      <c r="W39" s="11">
        <f t="shared" si="10"/>
        <v>0</v>
      </c>
      <c r="X39" s="11">
        <f t="shared" si="11"/>
        <v>0</v>
      </c>
      <c r="Y39" s="11">
        <f t="shared" si="12"/>
        <v>0</v>
      </c>
      <c r="Z39" s="11">
        <f t="shared" si="13"/>
        <v>0</v>
      </c>
      <c r="AA39" s="11">
        <f t="shared" si="14"/>
        <v>0</v>
      </c>
      <c r="AB39" s="11">
        <f t="shared" si="15"/>
        <v>0</v>
      </c>
      <c r="AC39" s="13">
        <f t="shared" si="1"/>
        <v>7090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3">
        <f t="shared" si="2"/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3">
        <f t="shared" si="3"/>
        <v>0</v>
      </c>
    </row>
    <row r="40" spans="1:55">
      <c r="A40" s="4" t="s">
        <v>23</v>
      </c>
      <c r="B40" s="4" t="s">
        <v>98</v>
      </c>
      <c r="C40" s="4" t="s">
        <v>99</v>
      </c>
      <c r="D40" s="6">
        <v>5000</v>
      </c>
      <c r="E40" s="6">
        <v>0</v>
      </c>
      <c r="F40" s="6">
        <v>5000</v>
      </c>
      <c r="G40" s="6">
        <v>0</v>
      </c>
      <c r="H40" s="6">
        <v>5000</v>
      </c>
      <c r="I40" s="6">
        <v>0</v>
      </c>
      <c r="J40" s="6">
        <v>5000</v>
      </c>
      <c r="K40" s="6">
        <v>0</v>
      </c>
      <c r="L40" s="6">
        <v>5000</v>
      </c>
      <c r="M40" s="6">
        <v>0</v>
      </c>
      <c r="N40" s="6">
        <v>5000</v>
      </c>
      <c r="O40" s="6">
        <v>0</v>
      </c>
      <c r="P40" s="9">
        <v>30000</v>
      </c>
      <c r="Q40" s="11">
        <f t="shared" si="4"/>
        <v>5000</v>
      </c>
      <c r="R40" s="11">
        <f t="shared" si="5"/>
        <v>0</v>
      </c>
      <c r="S40" s="11">
        <f t="shared" si="6"/>
        <v>5000</v>
      </c>
      <c r="T40" s="11">
        <f t="shared" si="7"/>
        <v>0</v>
      </c>
      <c r="U40" s="11">
        <f t="shared" si="8"/>
        <v>5000</v>
      </c>
      <c r="V40" s="11">
        <f t="shared" si="9"/>
        <v>0</v>
      </c>
      <c r="W40" s="11">
        <f t="shared" si="10"/>
        <v>5000</v>
      </c>
      <c r="X40" s="11">
        <f t="shared" si="11"/>
        <v>0</v>
      </c>
      <c r="Y40" s="11">
        <f t="shared" si="12"/>
        <v>5000</v>
      </c>
      <c r="Z40" s="11">
        <f t="shared" si="13"/>
        <v>0</v>
      </c>
      <c r="AA40" s="11">
        <f t="shared" si="14"/>
        <v>5000</v>
      </c>
      <c r="AB40" s="11">
        <f t="shared" si="15"/>
        <v>0</v>
      </c>
      <c r="AC40" s="13">
        <f t="shared" si="1"/>
        <v>30000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3">
        <f t="shared" si="2"/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3">
        <f t="shared" si="3"/>
        <v>0</v>
      </c>
    </row>
    <row r="41" spans="1:55">
      <c r="A41" s="4" t="s">
        <v>23</v>
      </c>
      <c r="B41" s="4" t="s">
        <v>100</v>
      </c>
      <c r="C41" s="4" t="s">
        <v>101</v>
      </c>
      <c r="D41" s="6">
        <v>0</v>
      </c>
      <c r="E41" s="6">
        <v>0</v>
      </c>
      <c r="F41" s="6">
        <v>5785.2</v>
      </c>
      <c r="G41" s="6">
        <v>3154.3992</v>
      </c>
      <c r="H41" s="6">
        <v>3750.048</v>
      </c>
      <c r="I41" s="6">
        <v>3602.6424</v>
      </c>
      <c r="J41" s="6">
        <v>5601.096</v>
      </c>
      <c r="K41" s="6">
        <v>3362.0472</v>
      </c>
      <c r="L41" s="6">
        <v>4208.0139622</v>
      </c>
      <c r="M41" s="6">
        <v>6760.4001017</v>
      </c>
      <c r="N41" s="6">
        <v>5365.0151216</v>
      </c>
      <c r="O41" s="6">
        <v>5365.0151216</v>
      </c>
      <c r="P41" s="9">
        <v>46953.8771071</v>
      </c>
      <c r="Q41" s="11">
        <f t="shared" si="4"/>
        <v>0</v>
      </c>
      <c r="R41" s="11">
        <f t="shared" si="5"/>
        <v>0</v>
      </c>
      <c r="S41" s="11">
        <f t="shared" si="6"/>
        <v>0</v>
      </c>
      <c r="T41" s="11">
        <f t="shared" si="7"/>
        <v>0</v>
      </c>
      <c r="U41" s="11">
        <f t="shared" si="8"/>
        <v>0</v>
      </c>
      <c r="V41" s="11">
        <f t="shared" si="9"/>
        <v>0</v>
      </c>
      <c r="W41" s="11">
        <f t="shared" si="10"/>
        <v>0</v>
      </c>
      <c r="X41" s="11">
        <f t="shared" si="11"/>
        <v>0</v>
      </c>
      <c r="Y41" s="11">
        <f t="shared" si="12"/>
        <v>0</v>
      </c>
      <c r="Z41" s="11">
        <f t="shared" si="13"/>
        <v>0</v>
      </c>
      <c r="AA41" s="11">
        <f t="shared" si="14"/>
        <v>0</v>
      </c>
      <c r="AB41" s="11">
        <f t="shared" si="15"/>
        <v>0</v>
      </c>
      <c r="AC41" s="13">
        <f t="shared" si="1"/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3">
        <f t="shared" si="2"/>
        <v>0</v>
      </c>
      <c r="AQ41" s="16">
        <v>0</v>
      </c>
      <c r="AR41" s="16">
        <v>0</v>
      </c>
      <c r="AS41" s="16">
        <v>5785.2</v>
      </c>
      <c r="AT41" s="16">
        <v>3154.3992</v>
      </c>
      <c r="AU41" s="16">
        <v>3750.048</v>
      </c>
      <c r="AV41" s="16">
        <v>3602.6424</v>
      </c>
      <c r="AW41" s="16">
        <v>5601.096</v>
      </c>
      <c r="AX41" s="16">
        <v>3362.0472</v>
      </c>
      <c r="AY41" s="16">
        <v>4208.0139622</v>
      </c>
      <c r="AZ41" s="16">
        <v>6760.4001017</v>
      </c>
      <c r="BA41" s="16">
        <v>5365.0151216</v>
      </c>
      <c r="BB41" s="16">
        <v>5365.0151216</v>
      </c>
      <c r="BC41" s="13">
        <f t="shared" si="3"/>
        <v>46953.8771071</v>
      </c>
    </row>
    <row r="42" spans="1:55">
      <c r="A42" s="4" t="s">
        <v>23</v>
      </c>
      <c r="B42" s="4" t="s">
        <v>102</v>
      </c>
      <c r="C42" s="4" t="s">
        <v>103</v>
      </c>
      <c r="D42" s="6">
        <v>6150.06</v>
      </c>
      <c r="E42" s="6">
        <v>6440.6988</v>
      </c>
      <c r="F42" s="6">
        <v>6411.5496</v>
      </c>
      <c r="G42" s="6">
        <v>6688.5984</v>
      </c>
      <c r="H42" s="6">
        <v>8965.17</v>
      </c>
      <c r="I42" s="6">
        <v>8333.8488</v>
      </c>
      <c r="J42" s="6">
        <v>10971.6444</v>
      </c>
      <c r="K42" s="6">
        <v>9164.5956</v>
      </c>
      <c r="L42" s="6">
        <v>9534.0263626</v>
      </c>
      <c r="M42" s="6">
        <v>15316.9246512</v>
      </c>
      <c r="N42" s="6">
        <v>12155.424403</v>
      </c>
      <c r="O42" s="6">
        <v>12155.424403</v>
      </c>
      <c r="P42" s="9">
        <v>112287.9654198</v>
      </c>
      <c r="Q42" s="11">
        <f t="shared" si="4"/>
        <v>0</v>
      </c>
      <c r="R42" s="11">
        <f t="shared" si="5"/>
        <v>0</v>
      </c>
      <c r="S42" s="11">
        <f t="shared" si="6"/>
        <v>0</v>
      </c>
      <c r="T42" s="11">
        <f t="shared" si="7"/>
        <v>0</v>
      </c>
      <c r="U42" s="11">
        <f t="shared" si="8"/>
        <v>0</v>
      </c>
      <c r="V42" s="11">
        <f t="shared" si="9"/>
        <v>0</v>
      </c>
      <c r="W42" s="11">
        <f t="shared" si="10"/>
        <v>0</v>
      </c>
      <c r="X42" s="11">
        <f t="shared" si="11"/>
        <v>0</v>
      </c>
      <c r="Y42" s="11">
        <f t="shared" si="12"/>
        <v>0</v>
      </c>
      <c r="Z42" s="11">
        <f t="shared" si="13"/>
        <v>0</v>
      </c>
      <c r="AA42" s="11">
        <f t="shared" si="14"/>
        <v>0</v>
      </c>
      <c r="AB42" s="11">
        <f t="shared" si="15"/>
        <v>0</v>
      </c>
      <c r="AC42" s="13">
        <f t="shared" si="1"/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3">
        <f t="shared" si="2"/>
        <v>0</v>
      </c>
      <c r="AQ42" s="16">
        <v>6150.06</v>
      </c>
      <c r="AR42" s="16">
        <v>6440.6988</v>
      </c>
      <c r="AS42" s="16">
        <v>6411.5496</v>
      </c>
      <c r="AT42" s="16">
        <v>6688.5984</v>
      </c>
      <c r="AU42" s="16">
        <v>8965.17</v>
      </c>
      <c r="AV42" s="16">
        <v>8333.8488</v>
      </c>
      <c r="AW42" s="16">
        <v>10971.6444</v>
      </c>
      <c r="AX42" s="16">
        <v>9164.5956</v>
      </c>
      <c r="AY42" s="16">
        <v>9534.0263626</v>
      </c>
      <c r="AZ42" s="16">
        <v>15316.9246512</v>
      </c>
      <c r="BA42" s="16">
        <v>12155.424403</v>
      </c>
      <c r="BB42" s="16">
        <v>12155.424403</v>
      </c>
      <c r="BC42" s="13">
        <f t="shared" si="3"/>
        <v>112287.9654198</v>
      </c>
    </row>
    <row r="43" spans="1:55">
      <c r="A43" s="4" t="s">
        <v>23</v>
      </c>
      <c r="B43" s="4" t="s">
        <v>104</v>
      </c>
      <c r="C43" s="4" t="s">
        <v>105</v>
      </c>
      <c r="D43" s="6">
        <v>582.851808</v>
      </c>
      <c r="E43" s="6">
        <v>598.29888</v>
      </c>
      <c r="F43" s="6">
        <v>1116.31488</v>
      </c>
      <c r="G43" s="6">
        <v>980.79168</v>
      </c>
      <c r="H43" s="6">
        <v>954.8736</v>
      </c>
      <c r="I43" s="6">
        <v>956.4576</v>
      </c>
      <c r="J43" s="6">
        <v>1780.368</v>
      </c>
      <c r="K43" s="6">
        <v>827.43168</v>
      </c>
      <c r="L43" s="6">
        <v>1193.5938489</v>
      </c>
      <c r="M43" s="6">
        <v>1917.5725295</v>
      </c>
      <c r="N43" s="6">
        <v>1521.7746676</v>
      </c>
      <c r="O43" s="6">
        <v>1521.7746676</v>
      </c>
      <c r="P43" s="9">
        <v>13952.1038416</v>
      </c>
      <c r="Q43" s="11">
        <f t="shared" si="4"/>
        <v>582.851808</v>
      </c>
      <c r="R43" s="11">
        <f t="shared" si="5"/>
        <v>598.29888</v>
      </c>
      <c r="S43" s="11">
        <f t="shared" si="6"/>
        <v>1116.31488</v>
      </c>
      <c r="T43" s="11">
        <f t="shared" si="7"/>
        <v>980.79168</v>
      </c>
      <c r="U43" s="11">
        <f t="shared" si="8"/>
        <v>954.8736</v>
      </c>
      <c r="V43" s="11">
        <f t="shared" si="9"/>
        <v>956.4576</v>
      </c>
      <c r="W43" s="11">
        <f t="shared" si="10"/>
        <v>1780.368</v>
      </c>
      <c r="X43" s="11">
        <f t="shared" si="11"/>
        <v>827.43168</v>
      </c>
      <c r="Y43" s="11">
        <f t="shared" si="12"/>
        <v>1193.5938489</v>
      </c>
      <c r="Z43" s="11">
        <f t="shared" si="13"/>
        <v>1917.5725295</v>
      </c>
      <c r="AA43" s="11">
        <f t="shared" si="14"/>
        <v>1521.7746676</v>
      </c>
      <c r="AB43" s="11">
        <f t="shared" si="15"/>
        <v>1521.7746676</v>
      </c>
      <c r="AC43" s="13">
        <f t="shared" si="1"/>
        <v>13952.1038416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3">
        <f t="shared" si="2"/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3">
        <f t="shared" si="3"/>
        <v>0</v>
      </c>
    </row>
    <row r="44" spans="1:55">
      <c r="A44" s="4" t="s">
        <v>23</v>
      </c>
      <c r="B44" s="4" t="s">
        <v>106</v>
      </c>
      <c r="C44" s="4" t="s">
        <v>107</v>
      </c>
      <c r="D44" s="6">
        <v>299.783232</v>
      </c>
      <c r="E44" s="6">
        <v>127.58592</v>
      </c>
      <c r="F44" s="6">
        <v>236.94912</v>
      </c>
      <c r="G44" s="6">
        <v>247.34592</v>
      </c>
      <c r="H44" s="6">
        <v>290.87808</v>
      </c>
      <c r="I44" s="6">
        <v>165.4368</v>
      </c>
      <c r="J44" s="6">
        <v>325.90464</v>
      </c>
      <c r="K44" s="6">
        <v>286.00128</v>
      </c>
      <c r="L44" s="6">
        <v>260.3155205</v>
      </c>
      <c r="M44" s="6">
        <v>418.2108442</v>
      </c>
      <c r="N44" s="6">
        <v>331.8897505</v>
      </c>
      <c r="O44" s="6">
        <v>331.8897505</v>
      </c>
      <c r="P44" s="9">
        <v>3322.1908577</v>
      </c>
      <c r="Q44" s="11">
        <f t="shared" si="4"/>
        <v>299.783232</v>
      </c>
      <c r="R44" s="11">
        <f t="shared" si="5"/>
        <v>127.58592</v>
      </c>
      <c r="S44" s="11">
        <f t="shared" si="6"/>
        <v>236.94912</v>
      </c>
      <c r="T44" s="11">
        <f t="shared" si="7"/>
        <v>247.34592</v>
      </c>
      <c r="U44" s="11">
        <f t="shared" si="8"/>
        <v>290.87808</v>
      </c>
      <c r="V44" s="11">
        <f t="shared" si="9"/>
        <v>165.4368</v>
      </c>
      <c r="W44" s="11">
        <f t="shared" si="10"/>
        <v>325.90464</v>
      </c>
      <c r="X44" s="11">
        <f t="shared" si="11"/>
        <v>286.00128</v>
      </c>
      <c r="Y44" s="11">
        <f t="shared" si="12"/>
        <v>260.3155205</v>
      </c>
      <c r="Z44" s="11">
        <f t="shared" si="13"/>
        <v>418.2108442</v>
      </c>
      <c r="AA44" s="11">
        <f t="shared" si="14"/>
        <v>331.8897505</v>
      </c>
      <c r="AB44" s="11">
        <f t="shared" si="15"/>
        <v>331.8897505</v>
      </c>
      <c r="AC44" s="13">
        <f t="shared" si="1"/>
        <v>3322.1908577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3">
        <f t="shared" si="2"/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3">
        <f t="shared" si="3"/>
        <v>0</v>
      </c>
    </row>
    <row r="45" spans="1:55">
      <c r="A45" s="4" t="s">
        <v>23</v>
      </c>
      <c r="B45" s="4" t="s">
        <v>108</v>
      </c>
      <c r="C45" s="4" t="s">
        <v>109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9">
        <v>0</v>
      </c>
      <c r="Q45" s="11">
        <f t="shared" si="4"/>
        <v>0</v>
      </c>
      <c r="R45" s="11">
        <f t="shared" si="5"/>
        <v>0</v>
      </c>
      <c r="S45" s="11">
        <f t="shared" si="6"/>
        <v>0</v>
      </c>
      <c r="T45" s="11">
        <f t="shared" si="7"/>
        <v>0</v>
      </c>
      <c r="U45" s="11">
        <f t="shared" si="8"/>
        <v>0</v>
      </c>
      <c r="V45" s="11">
        <f t="shared" si="9"/>
        <v>0</v>
      </c>
      <c r="W45" s="11">
        <f t="shared" si="10"/>
        <v>0</v>
      </c>
      <c r="X45" s="11">
        <f t="shared" si="11"/>
        <v>0</v>
      </c>
      <c r="Y45" s="11">
        <f t="shared" si="12"/>
        <v>0</v>
      </c>
      <c r="Z45" s="11">
        <f t="shared" si="13"/>
        <v>0</v>
      </c>
      <c r="AA45" s="11">
        <f t="shared" si="14"/>
        <v>0</v>
      </c>
      <c r="AB45" s="11">
        <f t="shared" si="15"/>
        <v>0</v>
      </c>
      <c r="AC45" s="13">
        <f t="shared" si="1"/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3">
        <f t="shared" si="2"/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3">
        <f t="shared" si="3"/>
        <v>0</v>
      </c>
    </row>
    <row r="46" spans="1:55">
      <c r="A46" s="4" t="s">
        <v>23</v>
      </c>
      <c r="B46" s="4" t="s">
        <v>110</v>
      </c>
      <c r="C46" s="4" t="s">
        <v>111</v>
      </c>
      <c r="D46" s="6">
        <v>247.95792</v>
      </c>
      <c r="E46" s="6">
        <v>0</v>
      </c>
      <c r="F46" s="6">
        <v>653.74464</v>
      </c>
      <c r="G46" s="6">
        <v>301.67424</v>
      </c>
      <c r="H46" s="6">
        <v>307.18656</v>
      </c>
      <c r="I46" s="6">
        <v>278.62656</v>
      </c>
      <c r="J46" s="6">
        <v>429.82464</v>
      </c>
      <c r="K46" s="6">
        <v>258.14784</v>
      </c>
      <c r="L46" s="6">
        <v>323.6934312</v>
      </c>
      <c r="M46" s="6">
        <v>520.0308565</v>
      </c>
      <c r="N46" s="6">
        <v>412.6935339</v>
      </c>
      <c r="O46" s="6">
        <v>412.6935339</v>
      </c>
      <c r="P46" s="9">
        <v>4146.2737555</v>
      </c>
      <c r="Q46" s="11">
        <f t="shared" si="4"/>
        <v>247.95792</v>
      </c>
      <c r="R46" s="11">
        <f t="shared" si="5"/>
        <v>0</v>
      </c>
      <c r="S46" s="11">
        <f t="shared" si="6"/>
        <v>653.74464</v>
      </c>
      <c r="T46" s="11">
        <f t="shared" si="7"/>
        <v>301.67424</v>
      </c>
      <c r="U46" s="11">
        <f t="shared" si="8"/>
        <v>307.18656</v>
      </c>
      <c r="V46" s="11">
        <f t="shared" si="9"/>
        <v>278.62656</v>
      </c>
      <c r="W46" s="11">
        <f t="shared" si="10"/>
        <v>429.82464</v>
      </c>
      <c r="X46" s="11">
        <f t="shared" si="11"/>
        <v>258.14784</v>
      </c>
      <c r="Y46" s="11">
        <f t="shared" si="12"/>
        <v>323.6934312</v>
      </c>
      <c r="Z46" s="11">
        <f t="shared" si="13"/>
        <v>520.0308565</v>
      </c>
      <c r="AA46" s="11">
        <f t="shared" si="14"/>
        <v>412.6935339</v>
      </c>
      <c r="AB46" s="11">
        <f t="shared" si="15"/>
        <v>412.6935339</v>
      </c>
      <c r="AC46" s="13">
        <f t="shared" si="1"/>
        <v>4146.2737555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3">
        <f t="shared" si="2"/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3">
        <f t="shared" si="3"/>
        <v>0</v>
      </c>
    </row>
    <row r="47" spans="1:55">
      <c r="A47" s="4" t="s">
        <v>23</v>
      </c>
      <c r="B47" s="4" t="s">
        <v>112</v>
      </c>
      <c r="C47" s="4" t="s">
        <v>113</v>
      </c>
      <c r="D47" s="6">
        <v>39371.5728756</v>
      </c>
      <c r="E47" s="6">
        <v>40636.1718</v>
      </c>
      <c r="F47" s="6">
        <v>49502.320008</v>
      </c>
      <c r="G47" s="6">
        <v>37138.019784</v>
      </c>
      <c r="H47" s="6">
        <v>28785.679512</v>
      </c>
      <c r="I47" s="6">
        <v>27720.325008</v>
      </c>
      <c r="J47" s="6">
        <v>43303.595328</v>
      </c>
      <c r="K47" s="6">
        <v>29980.046736</v>
      </c>
      <c r="L47" s="6">
        <v>33824.0773168</v>
      </c>
      <c r="M47" s="6">
        <v>54340.194159</v>
      </c>
      <c r="N47" s="6">
        <v>43124.0694318</v>
      </c>
      <c r="O47" s="6">
        <v>43124.0694318</v>
      </c>
      <c r="P47" s="9">
        <v>470850.141391</v>
      </c>
      <c r="Q47" s="11">
        <f t="shared" si="4"/>
        <v>0</v>
      </c>
      <c r="R47" s="11">
        <f t="shared" si="5"/>
        <v>0</v>
      </c>
      <c r="S47" s="11">
        <f t="shared" si="6"/>
        <v>0</v>
      </c>
      <c r="T47" s="11">
        <f t="shared" si="7"/>
        <v>0</v>
      </c>
      <c r="U47" s="11">
        <f t="shared" si="8"/>
        <v>0</v>
      </c>
      <c r="V47" s="11">
        <f t="shared" si="9"/>
        <v>0</v>
      </c>
      <c r="W47" s="11">
        <f t="shared" si="10"/>
        <v>0</v>
      </c>
      <c r="X47" s="11">
        <f t="shared" si="11"/>
        <v>0</v>
      </c>
      <c r="Y47" s="11">
        <f t="shared" si="12"/>
        <v>0</v>
      </c>
      <c r="Z47" s="11">
        <f t="shared" si="13"/>
        <v>0</v>
      </c>
      <c r="AA47" s="11">
        <f t="shared" si="14"/>
        <v>0</v>
      </c>
      <c r="AB47" s="11">
        <f t="shared" si="15"/>
        <v>0</v>
      </c>
      <c r="AC47" s="13">
        <f t="shared" si="1"/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3">
        <f t="shared" si="2"/>
        <v>0</v>
      </c>
      <c r="AQ47" s="16">
        <v>39371.5728756</v>
      </c>
      <c r="AR47" s="16">
        <v>40636.1718</v>
      </c>
      <c r="AS47" s="16">
        <v>49502.320008</v>
      </c>
      <c r="AT47" s="16">
        <v>37138.019784</v>
      </c>
      <c r="AU47" s="16">
        <v>28785.679512</v>
      </c>
      <c r="AV47" s="16">
        <v>27720.325008</v>
      </c>
      <c r="AW47" s="16">
        <v>43303.595328</v>
      </c>
      <c r="AX47" s="16">
        <v>29980.046736</v>
      </c>
      <c r="AY47" s="16">
        <v>33824.0773168</v>
      </c>
      <c r="AZ47" s="16">
        <v>54340.194159</v>
      </c>
      <c r="BA47" s="16">
        <v>43124.0694318</v>
      </c>
      <c r="BB47" s="16">
        <v>43124.0694318</v>
      </c>
      <c r="BC47" s="13">
        <f t="shared" si="3"/>
        <v>470850.141391</v>
      </c>
    </row>
    <row r="48" spans="1:55">
      <c r="A48" s="4" t="s">
        <v>23</v>
      </c>
      <c r="B48" s="4" t="s">
        <v>114</v>
      </c>
      <c r="C48" s="4" t="s">
        <v>115</v>
      </c>
      <c r="D48" s="6">
        <v>317676.2124</v>
      </c>
      <c r="E48" s="6">
        <v>362426.18154</v>
      </c>
      <c r="F48" s="6">
        <v>334464.579</v>
      </c>
      <c r="G48" s="6">
        <v>33345.054</v>
      </c>
      <c r="H48" s="6">
        <v>32200.8008362</v>
      </c>
      <c r="I48" s="6">
        <v>29820.18834</v>
      </c>
      <c r="J48" s="6">
        <v>33572.4534</v>
      </c>
      <c r="K48" s="6">
        <v>22812.86316</v>
      </c>
      <c r="L48" s="6">
        <v>29187.7315704</v>
      </c>
      <c r="M48" s="6">
        <v>36469.6129456</v>
      </c>
      <c r="N48" s="6">
        <v>524844.3146587</v>
      </c>
      <c r="O48" s="6">
        <v>443525.5800427</v>
      </c>
      <c r="P48" s="9">
        <v>2200345.5718936</v>
      </c>
      <c r="Q48" s="11">
        <f t="shared" si="4"/>
        <v>100000</v>
      </c>
      <c r="R48" s="11">
        <f t="shared" si="5"/>
        <v>100000</v>
      </c>
      <c r="S48" s="11">
        <f t="shared" si="6"/>
        <v>100000</v>
      </c>
      <c r="T48" s="11">
        <f t="shared" si="7"/>
        <v>0</v>
      </c>
      <c r="U48" s="11">
        <f t="shared" si="8"/>
        <v>0</v>
      </c>
      <c r="V48" s="11">
        <f t="shared" si="9"/>
        <v>0</v>
      </c>
      <c r="W48" s="11">
        <f t="shared" si="10"/>
        <v>0</v>
      </c>
      <c r="X48" s="11">
        <f t="shared" si="11"/>
        <v>0</v>
      </c>
      <c r="Y48" s="11">
        <f t="shared" si="12"/>
        <v>0</v>
      </c>
      <c r="Z48" s="11">
        <f t="shared" si="13"/>
        <v>0</v>
      </c>
      <c r="AA48" s="11">
        <f t="shared" si="14"/>
        <v>200000</v>
      </c>
      <c r="AB48" s="11">
        <f t="shared" si="15"/>
        <v>200000</v>
      </c>
      <c r="AC48" s="13">
        <f t="shared" si="1"/>
        <v>700000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3">
        <f t="shared" si="2"/>
        <v>0</v>
      </c>
      <c r="AQ48" s="16">
        <f>317676.2124-100000</f>
        <v>217676.2124</v>
      </c>
      <c r="AR48" s="16">
        <f>362426.18154-100000</f>
        <v>262426.18154</v>
      </c>
      <c r="AS48" s="16">
        <f>334464.579-100000</f>
        <v>234464.579</v>
      </c>
      <c r="AT48" s="16">
        <v>33345.054</v>
      </c>
      <c r="AU48" s="16">
        <v>32200.8008362</v>
      </c>
      <c r="AV48" s="16">
        <v>29820.18834</v>
      </c>
      <c r="AW48" s="16">
        <v>33572.4534</v>
      </c>
      <c r="AX48" s="16">
        <v>22812.86316</v>
      </c>
      <c r="AY48" s="16">
        <v>29187.7315704</v>
      </c>
      <c r="AZ48" s="16">
        <v>36469.6129456</v>
      </c>
      <c r="BA48" s="16">
        <f>524844.3146587-200000</f>
        <v>324844.3146587</v>
      </c>
      <c r="BB48" s="16">
        <f>443525.5800427-200000</f>
        <v>243525.5800427</v>
      </c>
      <c r="BC48" s="13">
        <f t="shared" si="3"/>
        <v>1500345.5718936</v>
      </c>
    </row>
    <row r="49" spans="1:55">
      <c r="A49" s="4" t="s">
        <v>23</v>
      </c>
      <c r="B49" s="4" t="s">
        <v>116</v>
      </c>
      <c r="C49" s="4" t="s">
        <v>117</v>
      </c>
      <c r="D49" s="6">
        <v>29808.2341379</v>
      </c>
      <c r="E49" s="6">
        <v>32907.12768</v>
      </c>
      <c r="F49" s="6">
        <v>27559.25568</v>
      </c>
      <c r="G49" s="6">
        <v>26164.735776</v>
      </c>
      <c r="H49" s="6">
        <v>20958.6751162</v>
      </c>
      <c r="I49" s="6">
        <v>22763.1629664</v>
      </c>
      <c r="J49" s="6">
        <v>26497.032</v>
      </c>
      <c r="K49" s="6">
        <v>32488.8575964</v>
      </c>
      <c r="L49" s="6">
        <v>25233.3786207</v>
      </c>
      <c r="M49" s="6">
        <v>41251.1631442</v>
      </c>
      <c r="N49" s="6">
        <v>31452.3945954</v>
      </c>
      <c r="O49" s="6">
        <v>33331.2709972</v>
      </c>
      <c r="P49" s="9">
        <v>350415.2883104</v>
      </c>
      <c r="Q49" s="11">
        <f t="shared" si="4"/>
        <v>0</v>
      </c>
      <c r="R49" s="11">
        <f t="shared" si="5"/>
        <v>0</v>
      </c>
      <c r="S49" s="11">
        <f t="shared" si="6"/>
        <v>0</v>
      </c>
      <c r="T49" s="11">
        <f t="shared" si="7"/>
        <v>0</v>
      </c>
      <c r="U49" s="11">
        <f t="shared" si="8"/>
        <v>0</v>
      </c>
      <c r="V49" s="11">
        <f t="shared" si="9"/>
        <v>0</v>
      </c>
      <c r="W49" s="11">
        <f t="shared" si="10"/>
        <v>0</v>
      </c>
      <c r="X49" s="11">
        <f t="shared" si="11"/>
        <v>0</v>
      </c>
      <c r="Y49" s="11">
        <f t="shared" si="12"/>
        <v>0</v>
      </c>
      <c r="Z49" s="11">
        <f t="shared" si="13"/>
        <v>0</v>
      </c>
      <c r="AA49" s="11">
        <f t="shared" si="14"/>
        <v>0</v>
      </c>
      <c r="AB49" s="11">
        <f t="shared" si="15"/>
        <v>0</v>
      </c>
      <c r="AC49" s="13">
        <f t="shared" si="1"/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3">
        <f t="shared" si="2"/>
        <v>0</v>
      </c>
      <c r="AQ49" s="16">
        <v>29808.2341379</v>
      </c>
      <c r="AR49" s="16">
        <v>32907.12768</v>
      </c>
      <c r="AS49" s="16">
        <v>27559.25568</v>
      </c>
      <c r="AT49" s="16">
        <v>26164.735776</v>
      </c>
      <c r="AU49" s="16">
        <v>20958.6751162</v>
      </c>
      <c r="AV49" s="16">
        <v>22763.1629664</v>
      </c>
      <c r="AW49" s="16">
        <v>26497.032</v>
      </c>
      <c r="AX49" s="16">
        <v>32488.8575964</v>
      </c>
      <c r="AY49" s="16">
        <v>25233.3786207</v>
      </c>
      <c r="AZ49" s="16">
        <v>41251.1631442</v>
      </c>
      <c r="BA49" s="16">
        <v>31452.3945954</v>
      </c>
      <c r="BB49" s="16">
        <v>33331.2709972</v>
      </c>
      <c r="BC49" s="13">
        <f t="shared" si="3"/>
        <v>350415.2883104</v>
      </c>
    </row>
    <row r="50" spans="1:55">
      <c r="A50" s="4" t="s">
        <v>23</v>
      </c>
      <c r="B50" s="4" t="s">
        <v>118</v>
      </c>
      <c r="C50" s="4" t="s">
        <v>119</v>
      </c>
      <c r="D50" s="6">
        <v>311670.647285</v>
      </c>
      <c r="E50" s="6">
        <v>377572.782048</v>
      </c>
      <c r="F50" s="6">
        <v>234282.115584</v>
      </c>
      <c r="G50" s="6">
        <v>253589.9243517</v>
      </c>
      <c r="H50" s="6">
        <v>277225.6125037</v>
      </c>
      <c r="I50" s="6">
        <v>290102.1378001</v>
      </c>
      <c r="J50" s="6">
        <v>251797.616179</v>
      </c>
      <c r="K50" s="6">
        <v>248220.0798312</v>
      </c>
      <c r="L50" s="6">
        <v>319038.1172233</v>
      </c>
      <c r="M50" s="6">
        <v>276980.4657118</v>
      </c>
      <c r="N50" s="6">
        <v>215780.7968058</v>
      </c>
      <c r="O50" s="6">
        <v>244956.0962315</v>
      </c>
      <c r="P50" s="9">
        <v>3301216.3915551</v>
      </c>
      <c r="Q50" s="11">
        <f t="shared" si="4"/>
        <v>0</v>
      </c>
      <c r="R50" s="11">
        <f t="shared" si="5"/>
        <v>0</v>
      </c>
      <c r="S50" s="11">
        <f t="shared" si="6"/>
        <v>0</v>
      </c>
      <c r="T50" s="11">
        <f t="shared" si="7"/>
        <v>0</v>
      </c>
      <c r="U50" s="11">
        <f t="shared" si="8"/>
        <v>0</v>
      </c>
      <c r="V50" s="11">
        <f t="shared" si="9"/>
        <v>0</v>
      </c>
      <c r="W50" s="11">
        <f t="shared" si="10"/>
        <v>0</v>
      </c>
      <c r="X50" s="11">
        <f t="shared" si="11"/>
        <v>0</v>
      </c>
      <c r="Y50" s="11">
        <f t="shared" si="12"/>
        <v>0</v>
      </c>
      <c r="Z50" s="11">
        <f t="shared" si="13"/>
        <v>0</v>
      </c>
      <c r="AA50" s="11">
        <f t="shared" si="14"/>
        <v>0</v>
      </c>
      <c r="AB50" s="11">
        <f t="shared" si="15"/>
        <v>0</v>
      </c>
      <c r="AC50" s="13">
        <f t="shared" si="1"/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3">
        <f t="shared" si="2"/>
        <v>0</v>
      </c>
      <c r="AQ50" s="16">
        <v>311670.647285</v>
      </c>
      <c r="AR50" s="16">
        <v>377572.782048</v>
      </c>
      <c r="AS50" s="16">
        <v>234282.115584</v>
      </c>
      <c r="AT50" s="16">
        <v>253589.9243517</v>
      </c>
      <c r="AU50" s="16">
        <v>277225.6125037</v>
      </c>
      <c r="AV50" s="16">
        <v>290102.1378001</v>
      </c>
      <c r="AW50" s="16">
        <v>251797.616179</v>
      </c>
      <c r="AX50" s="16">
        <v>248220.0798312</v>
      </c>
      <c r="AY50" s="16">
        <v>319038.1172233</v>
      </c>
      <c r="AZ50" s="16">
        <v>276980.4657118</v>
      </c>
      <c r="BA50" s="16">
        <v>215780.7968058</v>
      </c>
      <c r="BB50" s="16">
        <v>244956.0962315</v>
      </c>
      <c r="BC50" s="13">
        <f t="shared" si="3"/>
        <v>3301216.3915551</v>
      </c>
    </row>
    <row r="51" spans="1:55">
      <c r="A51" s="4" t="s">
        <v>23</v>
      </c>
      <c r="B51" s="4" t="s">
        <v>120</v>
      </c>
      <c r="C51" s="4" t="s">
        <v>121</v>
      </c>
      <c r="D51" s="6">
        <v>12465.95427</v>
      </c>
      <c r="E51" s="6">
        <v>9678.22884</v>
      </c>
      <c r="F51" s="6">
        <v>14993.9874</v>
      </c>
      <c r="G51" s="6">
        <v>16018.254</v>
      </c>
      <c r="H51" s="6">
        <v>13029.43572</v>
      </c>
      <c r="I51" s="6">
        <v>12105.71208</v>
      </c>
      <c r="J51" s="6">
        <v>17045.88984</v>
      </c>
      <c r="K51" s="6">
        <v>11384.18568</v>
      </c>
      <c r="L51" s="6">
        <v>13574.5719067</v>
      </c>
      <c r="M51" s="6">
        <v>21808.2777581</v>
      </c>
      <c r="N51" s="6">
        <v>17306.9253576</v>
      </c>
      <c r="O51" s="6">
        <v>17306.9253576</v>
      </c>
      <c r="P51" s="9">
        <v>176718.34821</v>
      </c>
      <c r="Q51" s="11">
        <f t="shared" si="4"/>
        <v>12465.95427</v>
      </c>
      <c r="R51" s="11">
        <f t="shared" si="5"/>
        <v>9678.22884</v>
      </c>
      <c r="S51" s="11">
        <f t="shared" si="6"/>
        <v>14993.9874</v>
      </c>
      <c r="T51" s="11">
        <f t="shared" si="7"/>
        <v>16018.254</v>
      </c>
      <c r="U51" s="11">
        <f t="shared" si="8"/>
        <v>13029.43572</v>
      </c>
      <c r="V51" s="11">
        <f t="shared" si="9"/>
        <v>12105.71208</v>
      </c>
      <c r="W51" s="11">
        <f t="shared" si="10"/>
        <v>17045.88984</v>
      </c>
      <c r="X51" s="11">
        <f t="shared" si="11"/>
        <v>11384.18568</v>
      </c>
      <c r="Y51" s="11">
        <f t="shared" si="12"/>
        <v>13574.5719067</v>
      </c>
      <c r="Z51" s="11">
        <f t="shared" si="13"/>
        <v>21808.2777581</v>
      </c>
      <c r="AA51" s="11">
        <f t="shared" si="14"/>
        <v>17306.9253576</v>
      </c>
      <c r="AB51" s="11">
        <f t="shared" si="15"/>
        <v>17306.9253576</v>
      </c>
      <c r="AC51" s="13">
        <f t="shared" si="1"/>
        <v>176718.34821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3">
        <f t="shared" si="2"/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3">
        <f t="shared" si="3"/>
        <v>0</v>
      </c>
    </row>
    <row r="52" spans="1:55">
      <c r="A52" s="4" t="s">
        <v>23</v>
      </c>
      <c r="B52" s="4" t="s">
        <v>122</v>
      </c>
      <c r="C52" s="4" t="s">
        <v>123</v>
      </c>
      <c r="D52" s="6">
        <v>3524.8582656</v>
      </c>
      <c r="E52" s="6">
        <v>3378.849792</v>
      </c>
      <c r="F52" s="6">
        <v>3672.79104</v>
      </c>
      <c r="G52" s="6">
        <v>3139.958784</v>
      </c>
      <c r="H52" s="6">
        <v>3453.382656</v>
      </c>
      <c r="I52" s="6">
        <v>3056.418816</v>
      </c>
      <c r="J52" s="6">
        <v>4215.957504</v>
      </c>
      <c r="K52" s="6">
        <v>3035.077632</v>
      </c>
      <c r="L52" s="6">
        <v>3451.7467929</v>
      </c>
      <c r="M52" s="6">
        <v>5545.4163363</v>
      </c>
      <c r="N52" s="6">
        <v>4400.8109065</v>
      </c>
      <c r="O52" s="6">
        <v>4400.8109065</v>
      </c>
      <c r="P52" s="9">
        <v>45276.0794318</v>
      </c>
      <c r="Q52" s="11">
        <f t="shared" si="4"/>
        <v>0</v>
      </c>
      <c r="R52" s="11">
        <f t="shared" si="5"/>
        <v>0</v>
      </c>
      <c r="S52" s="11">
        <f t="shared" si="6"/>
        <v>0</v>
      </c>
      <c r="T52" s="11">
        <f t="shared" si="7"/>
        <v>0</v>
      </c>
      <c r="U52" s="11">
        <f t="shared" si="8"/>
        <v>0</v>
      </c>
      <c r="V52" s="11">
        <f t="shared" si="9"/>
        <v>0</v>
      </c>
      <c r="W52" s="11">
        <f t="shared" si="10"/>
        <v>0</v>
      </c>
      <c r="X52" s="11">
        <f t="shared" si="11"/>
        <v>0</v>
      </c>
      <c r="Y52" s="11">
        <f t="shared" si="12"/>
        <v>0</v>
      </c>
      <c r="Z52" s="11">
        <f t="shared" si="13"/>
        <v>0</v>
      </c>
      <c r="AA52" s="11">
        <f t="shared" si="14"/>
        <v>0</v>
      </c>
      <c r="AB52" s="11">
        <f t="shared" si="15"/>
        <v>0</v>
      </c>
      <c r="AC52" s="13">
        <f t="shared" si="1"/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3">
        <f t="shared" si="2"/>
        <v>0</v>
      </c>
      <c r="AQ52" s="16">
        <v>3524.8582656</v>
      </c>
      <c r="AR52" s="16">
        <v>3378.849792</v>
      </c>
      <c r="AS52" s="16">
        <v>3672.79104</v>
      </c>
      <c r="AT52" s="16">
        <v>3139.958784</v>
      </c>
      <c r="AU52" s="16">
        <v>3453.382656</v>
      </c>
      <c r="AV52" s="16">
        <v>3056.418816</v>
      </c>
      <c r="AW52" s="16">
        <v>4215.957504</v>
      </c>
      <c r="AX52" s="16">
        <v>3035.077632</v>
      </c>
      <c r="AY52" s="16">
        <v>3451.7467929</v>
      </c>
      <c r="AZ52" s="16">
        <v>5545.4163363</v>
      </c>
      <c r="BA52" s="16">
        <v>4400.8109065</v>
      </c>
      <c r="BB52" s="16">
        <v>4400.8109065</v>
      </c>
      <c r="BC52" s="13">
        <f t="shared" si="3"/>
        <v>45276.0794318</v>
      </c>
    </row>
    <row r="53" spans="1:55">
      <c r="A53" s="4" t="s">
        <v>23</v>
      </c>
      <c r="B53" s="4" t="s">
        <v>124</v>
      </c>
      <c r="C53" s="4" t="s">
        <v>125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9">
        <v>0</v>
      </c>
      <c r="Q53" s="11">
        <f t="shared" si="4"/>
        <v>0</v>
      </c>
      <c r="R53" s="11">
        <f t="shared" si="5"/>
        <v>0</v>
      </c>
      <c r="S53" s="11">
        <f t="shared" si="6"/>
        <v>0</v>
      </c>
      <c r="T53" s="11">
        <f t="shared" si="7"/>
        <v>0</v>
      </c>
      <c r="U53" s="11">
        <f t="shared" si="8"/>
        <v>0</v>
      </c>
      <c r="V53" s="11">
        <f t="shared" si="9"/>
        <v>0</v>
      </c>
      <c r="W53" s="11">
        <f t="shared" si="10"/>
        <v>0</v>
      </c>
      <c r="X53" s="11">
        <f t="shared" si="11"/>
        <v>0</v>
      </c>
      <c r="Y53" s="11">
        <f t="shared" si="12"/>
        <v>0</v>
      </c>
      <c r="Z53" s="11">
        <f t="shared" si="13"/>
        <v>0</v>
      </c>
      <c r="AA53" s="11">
        <f t="shared" si="14"/>
        <v>0</v>
      </c>
      <c r="AB53" s="11">
        <f t="shared" si="15"/>
        <v>0</v>
      </c>
      <c r="AC53" s="13">
        <f t="shared" si="1"/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3">
        <f t="shared" si="2"/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3">
        <f t="shared" si="3"/>
        <v>0</v>
      </c>
    </row>
    <row r="54" spans="1:55">
      <c r="A54" s="4" t="s">
        <v>23</v>
      </c>
      <c r="B54" s="4" t="s">
        <v>126</v>
      </c>
      <c r="C54" s="4" t="s">
        <v>127</v>
      </c>
      <c r="D54" s="6">
        <v>5174.3494656</v>
      </c>
      <c r="E54" s="6">
        <v>4263.518592</v>
      </c>
      <c r="F54" s="6">
        <v>6081.176736</v>
      </c>
      <c r="G54" s="6">
        <v>4785.067872</v>
      </c>
      <c r="H54" s="6">
        <v>3549.119328</v>
      </c>
      <c r="I54" s="6">
        <v>3661.754688</v>
      </c>
      <c r="J54" s="6">
        <v>5202.198432</v>
      </c>
      <c r="K54" s="6">
        <v>3095.306784</v>
      </c>
      <c r="L54" s="6">
        <v>4004.9014249</v>
      </c>
      <c r="M54" s="6">
        <v>6434.0889177</v>
      </c>
      <c r="N54" s="6">
        <v>5106.0564194</v>
      </c>
      <c r="O54" s="6">
        <v>5106.0564194</v>
      </c>
      <c r="P54" s="9">
        <v>56463.595079</v>
      </c>
      <c r="Q54" s="11">
        <f t="shared" si="4"/>
        <v>0</v>
      </c>
      <c r="R54" s="11">
        <f t="shared" si="5"/>
        <v>0</v>
      </c>
      <c r="S54" s="11">
        <f t="shared" si="6"/>
        <v>0</v>
      </c>
      <c r="T54" s="11">
        <f t="shared" si="7"/>
        <v>0</v>
      </c>
      <c r="U54" s="11">
        <f t="shared" si="8"/>
        <v>0</v>
      </c>
      <c r="V54" s="11">
        <f t="shared" si="9"/>
        <v>0</v>
      </c>
      <c r="W54" s="11">
        <f t="shared" si="10"/>
        <v>0</v>
      </c>
      <c r="X54" s="11">
        <f t="shared" si="11"/>
        <v>0</v>
      </c>
      <c r="Y54" s="11">
        <f t="shared" si="12"/>
        <v>0</v>
      </c>
      <c r="Z54" s="11">
        <f t="shared" si="13"/>
        <v>0</v>
      </c>
      <c r="AA54" s="11">
        <f t="shared" si="14"/>
        <v>0</v>
      </c>
      <c r="AB54" s="11">
        <f t="shared" si="15"/>
        <v>0</v>
      </c>
      <c r="AC54" s="13">
        <f t="shared" si="1"/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3">
        <f t="shared" si="2"/>
        <v>0</v>
      </c>
      <c r="AQ54" s="16">
        <v>5174.3494656</v>
      </c>
      <c r="AR54" s="16">
        <v>4263.518592</v>
      </c>
      <c r="AS54" s="16">
        <v>6081.176736</v>
      </c>
      <c r="AT54" s="16">
        <v>4785.067872</v>
      </c>
      <c r="AU54" s="16">
        <v>3549.119328</v>
      </c>
      <c r="AV54" s="16">
        <v>3661.754688</v>
      </c>
      <c r="AW54" s="16">
        <v>5202.198432</v>
      </c>
      <c r="AX54" s="16">
        <v>3095.306784</v>
      </c>
      <c r="AY54" s="16">
        <v>4004.9014249</v>
      </c>
      <c r="AZ54" s="16">
        <v>6434.0889177</v>
      </c>
      <c r="BA54" s="16">
        <v>5106.0564194</v>
      </c>
      <c r="BB54" s="16">
        <v>5106.0564194</v>
      </c>
      <c r="BC54" s="13">
        <f t="shared" si="3"/>
        <v>56463.595079</v>
      </c>
    </row>
    <row r="55" spans="1:55">
      <c r="A55" s="4" t="s">
        <v>23</v>
      </c>
      <c r="B55" s="4" t="s">
        <v>128</v>
      </c>
      <c r="C55" s="4" t="s">
        <v>129</v>
      </c>
      <c r="D55" s="6">
        <v>4985.4432096</v>
      </c>
      <c r="E55" s="6">
        <v>3852.41184</v>
      </c>
      <c r="F55" s="6">
        <v>5045.061024</v>
      </c>
      <c r="G55" s="6">
        <v>4782.354048</v>
      </c>
      <c r="H55" s="6">
        <v>2932.733952</v>
      </c>
      <c r="I55" s="6">
        <v>3132.3672</v>
      </c>
      <c r="J55" s="6">
        <v>4484.852064</v>
      </c>
      <c r="K55" s="6">
        <v>3044.876832</v>
      </c>
      <c r="L55" s="6">
        <v>3570.5088935</v>
      </c>
      <c r="M55" s="6">
        <v>5736.21402</v>
      </c>
      <c r="N55" s="6">
        <v>4552.2268646</v>
      </c>
      <c r="O55" s="6">
        <v>4552.2268646</v>
      </c>
      <c r="P55" s="9">
        <v>50671.2768123</v>
      </c>
      <c r="Q55" s="11">
        <f t="shared" si="4"/>
        <v>0</v>
      </c>
      <c r="R55" s="11">
        <f t="shared" si="5"/>
        <v>0</v>
      </c>
      <c r="S55" s="11">
        <f t="shared" si="6"/>
        <v>0</v>
      </c>
      <c r="T55" s="11">
        <f t="shared" si="7"/>
        <v>0</v>
      </c>
      <c r="U55" s="11">
        <f t="shared" si="8"/>
        <v>0</v>
      </c>
      <c r="V55" s="11">
        <f t="shared" si="9"/>
        <v>0</v>
      </c>
      <c r="W55" s="11">
        <f t="shared" si="10"/>
        <v>0</v>
      </c>
      <c r="X55" s="11">
        <f t="shared" si="11"/>
        <v>0</v>
      </c>
      <c r="Y55" s="11">
        <f t="shared" si="12"/>
        <v>0</v>
      </c>
      <c r="Z55" s="11">
        <f t="shared" si="13"/>
        <v>0</v>
      </c>
      <c r="AA55" s="11">
        <f t="shared" si="14"/>
        <v>0</v>
      </c>
      <c r="AB55" s="11">
        <f t="shared" si="15"/>
        <v>0</v>
      </c>
      <c r="AC55" s="13">
        <f t="shared" si="1"/>
        <v>0</v>
      </c>
      <c r="AD55" s="15">
        <v>4985.4432096</v>
      </c>
      <c r="AE55" s="15">
        <v>3852.41184</v>
      </c>
      <c r="AF55" s="15">
        <v>5045.061024</v>
      </c>
      <c r="AG55" s="15">
        <v>4782.354048</v>
      </c>
      <c r="AH55" s="15">
        <v>2932.733952</v>
      </c>
      <c r="AI55" s="15">
        <v>3132.3672</v>
      </c>
      <c r="AJ55" s="15">
        <v>4484.852064</v>
      </c>
      <c r="AK55" s="15">
        <v>3044.876832</v>
      </c>
      <c r="AL55" s="15">
        <v>3570.5088935</v>
      </c>
      <c r="AM55" s="15">
        <v>5736.21402</v>
      </c>
      <c r="AN55" s="15">
        <v>4552.2268646</v>
      </c>
      <c r="AO55" s="15">
        <v>4552.2268646</v>
      </c>
      <c r="AP55" s="13">
        <f t="shared" si="2"/>
        <v>50671.2768123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3">
        <f t="shared" si="3"/>
        <v>0</v>
      </c>
    </row>
    <row r="56" spans="1:55">
      <c r="A56" s="4" t="s">
        <v>23</v>
      </c>
      <c r="B56" s="4" t="s">
        <v>130</v>
      </c>
      <c r="C56" s="4" t="s">
        <v>131</v>
      </c>
      <c r="D56" s="6">
        <v>3726.252684</v>
      </c>
      <c r="E56" s="6">
        <v>2976.8508</v>
      </c>
      <c r="F56" s="6">
        <v>4185.54312</v>
      </c>
      <c r="G56" s="6">
        <v>3892.35264</v>
      </c>
      <c r="H56" s="6">
        <v>2695.17072</v>
      </c>
      <c r="I56" s="6">
        <v>2538.31248</v>
      </c>
      <c r="J56" s="6">
        <v>3939.0252</v>
      </c>
      <c r="K56" s="6">
        <v>2240.77392</v>
      </c>
      <c r="L56" s="6">
        <v>2919.5098902</v>
      </c>
      <c r="M56" s="6">
        <v>4690.3492088</v>
      </c>
      <c r="N56" s="6">
        <v>3722.2344909</v>
      </c>
      <c r="O56" s="6">
        <v>3722.2344909</v>
      </c>
      <c r="P56" s="9">
        <v>41248.6096448</v>
      </c>
      <c r="Q56" s="11">
        <f t="shared" si="4"/>
        <v>3726.252684</v>
      </c>
      <c r="R56" s="11">
        <f t="shared" si="5"/>
        <v>2976.8508</v>
      </c>
      <c r="S56" s="11">
        <f t="shared" si="6"/>
        <v>4185.54312</v>
      </c>
      <c r="T56" s="11">
        <f t="shared" si="7"/>
        <v>3892.35264</v>
      </c>
      <c r="U56" s="11">
        <f t="shared" si="8"/>
        <v>2695.17072</v>
      </c>
      <c r="V56" s="11">
        <f t="shared" si="9"/>
        <v>2538.31248</v>
      </c>
      <c r="W56" s="11">
        <f t="shared" si="10"/>
        <v>3939.0252</v>
      </c>
      <c r="X56" s="11">
        <f t="shared" si="11"/>
        <v>2240.77392</v>
      </c>
      <c r="Y56" s="11">
        <f t="shared" si="12"/>
        <v>2919.5098902</v>
      </c>
      <c r="Z56" s="11">
        <f t="shared" si="13"/>
        <v>4690.3492088</v>
      </c>
      <c r="AA56" s="11">
        <f t="shared" si="14"/>
        <v>3722.2344909</v>
      </c>
      <c r="AB56" s="11">
        <f t="shared" si="15"/>
        <v>3722.2344909</v>
      </c>
      <c r="AC56" s="13">
        <f t="shared" si="1"/>
        <v>41248.6096448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3">
        <f t="shared" si="2"/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3">
        <f t="shared" si="3"/>
        <v>0</v>
      </c>
    </row>
    <row r="57" spans="1:55">
      <c r="A57" s="4" t="s">
        <v>23</v>
      </c>
      <c r="B57" s="4" t="s">
        <v>132</v>
      </c>
      <c r="C57" s="4" t="s">
        <v>133</v>
      </c>
      <c r="D57" s="6">
        <v>6804.314748</v>
      </c>
      <c r="E57" s="6">
        <v>5586.78912</v>
      </c>
      <c r="F57" s="6">
        <v>7093.76184</v>
      </c>
      <c r="G57" s="6">
        <v>6061.83072</v>
      </c>
      <c r="H57" s="6">
        <v>4645.28328</v>
      </c>
      <c r="I57" s="6">
        <v>4914.53952</v>
      </c>
      <c r="J57" s="6">
        <v>8025.58944</v>
      </c>
      <c r="K57" s="6">
        <v>3612.48624</v>
      </c>
      <c r="L57" s="6">
        <v>5543.1182809</v>
      </c>
      <c r="M57" s="6">
        <v>8905.3167898</v>
      </c>
      <c r="N57" s="6">
        <v>7067.2088221</v>
      </c>
      <c r="O57" s="6">
        <v>7067.2088221</v>
      </c>
      <c r="P57" s="9">
        <v>75327.4476229</v>
      </c>
      <c r="Q57" s="11">
        <f t="shared" si="4"/>
        <v>6804.314748</v>
      </c>
      <c r="R57" s="11">
        <f t="shared" si="5"/>
        <v>5586.78912</v>
      </c>
      <c r="S57" s="11">
        <f t="shared" si="6"/>
        <v>7093.76184</v>
      </c>
      <c r="T57" s="11">
        <f t="shared" si="7"/>
        <v>6061.83072</v>
      </c>
      <c r="U57" s="11">
        <f t="shared" si="8"/>
        <v>4645.28328</v>
      </c>
      <c r="V57" s="11">
        <f t="shared" si="9"/>
        <v>4914.53952</v>
      </c>
      <c r="W57" s="11">
        <f t="shared" si="10"/>
        <v>8025.58944</v>
      </c>
      <c r="X57" s="11">
        <f t="shared" si="11"/>
        <v>3612.48624</v>
      </c>
      <c r="Y57" s="11">
        <f t="shared" si="12"/>
        <v>5543.1182809</v>
      </c>
      <c r="Z57" s="11">
        <f t="shared" si="13"/>
        <v>8905.3167898</v>
      </c>
      <c r="AA57" s="11">
        <f t="shared" si="14"/>
        <v>7067.2088221</v>
      </c>
      <c r="AB57" s="11">
        <f t="shared" si="15"/>
        <v>7067.2088221</v>
      </c>
      <c r="AC57" s="13">
        <f t="shared" si="1"/>
        <v>75327.4476229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3">
        <f t="shared" si="2"/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3">
        <f t="shared" si="3"/>
        <v>0</v>
      </c>
    </row>
    <row r="58" spans="1:55">
      <c r="A58" s="4" t="s">
        <v>23</v>
      </c>
      <c r="B58" s="4" t="s">
        <v>134</v>
      </c>
      <c r="C58" s="4" t="s">
        <v>135</v>
      </c>
      <c r="D58" s="6">
        <v>11852.4664233</v>
      </c>
      <c r="E58" s="6">
        <v>10117.847376</v>
      </c>
      <c r="F58" s="6">
        <v>8328.8267424</v>
      </c>
      <c r="G58" s="6">
        <v>12493.19376</v>
      </c>
      <c r="H58" s="6">
        <v>15381.4279214</v>
      </c>
      <c r="I58" s="6">
        <v>12240.7074144</v>
      </c>
      <c r="J58" s="6">
        <v>15042.01824</v>
      </c>
      <c r="K58" s="6">
        <v>25401.440118</v>
      </c>
      <c r="L58" s="6">
        <v>15886.2922495</v>
      </c>
      <c r="M58" s="6">
        <v>14343.0493265</v>
      </c>
      <c r="N58" s="6">
        <v>11446.8571777</v>
      </c>
      <c r="O58" s="6">
        <v>13619.5410664</v>
      </c>
      <c r="P58" s="9">
        <v>166153.6678156</v>
      </c>
      <c r="Q58" s="11">
        <f t="shared" si="4"/>
        <v>0</v>
      </c>
      <c r="R58" s="11">
        <f t="shared" si="5"/>
        <v>0</v>
      </c>
      <c r="S58" s="11">
        <f t="shared" si="6"/>
        <v>0</v>
      </c>
      <c r="T58" s="11">
        <f t="shared" si="7"/>
        <v>0</v>
      </c>
      <c r="U58" s="11">
        <f t="shared" si="8"/>
        <v>0</v>
      </c>
      <c r="V58" s="11">
        <f t="shared" si="9"/>
        <v>0</v>
      </c>
      <c r="W58" s="11">
        <f t="shared" si="10"/>
        <v>0</v>
      </c>
      <c r="X58" s="11">
        <f t="shared" si="11"/>
        <v>0</v>
      </c>
      <c r="Y58" s="11">
        <f t="shared" si="12"/>
        <v>0</v>
      </c>
      <c r="Z58" s="11">
        <f t="shared" si="13"/>
        <v>0</v>
      </c>
      <c r="AA58" s="11">
        <f t="shared" si="14"/>
        <v>0</v>
      </c>
      <c r="AB58" s="11">
        <f t="shared" si="15"/>
        <v>0</v>
      </c>
      <c r="AC58" s="13">
        <f t="shared" si="1"/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3">
        <f t="shared" si="2"/>
        <v>0</v>
      </c>
      <c r="AQ58" s="16">
        <v>11852.4664233</v>
      </c>
      <c r="AR58" s="16">
        <v>10117.847376</v>
      </c>
      <c r="AS58" s="16">
        <v>8328.8267424</v>
      </c>
      <c r="AT58" s="16">
        <v>12493.19376</v>
      </c>
      <c r="AU58" s="16">
        <v>15381.4279214</v>
      </c>
      <c r="AV58" s="16">
        <v>12240.7074144</v>
      </c>
      <c r="AW58" s="16">
        <v>15042.01824</v>
      </c>
      <c r="AX58" s="16">
        <v>25401.440118</v>
      </c>
      <c r="AY58" s="16">
        <v>15886.2922495</v>
      </c>
      <c r="AZ58" s="16">
        <v>14343.0493265</v>
      </c>
      <c r="BA58" s="16">
        <v>11446.8571777</v>
      </c>
      <c r="BB58" s="16">
        <v>13619.5410664</v>
      </c>
      <c r="BC58" s="13">
        <f t="shared" si="3"/>
        <v>166153.6678156</v>
      </c>
    </row>
    <row r="59" spans="1:55">
      <c r="A59" s="4" t="s">
        <v>23</v>
      </c>
      <c r="B59" s="4" t="s">
        <v>136</v>
      </c>
      <c r="C59" s="4" t="s">
        <v>137</v>
      </c>
      <c r="D59" s="6">
        <v>39993.7199904</v>
      </c>
      <c r="E59" s="6">
        <v>41292.144</v>
      </c>
      <c r="F59" s="6">
        <v>34278.603936</v>
      </c>
      <c r="G59" s="6">
        <v>33582.0776555</v>
      </c>
      <c r="H59" s="6">
        <v>29306.2934222</v>
      </c>
      <c r="I59" s="6">
        <v>27179.086176</v>
      </c>
      <c r="J59" s="6">
        <v>31484.9328</v>
      </c>
      <c r="K59" s="6">
        <v>34712.7166044</v>
      </c>
      <c r="L59" s="6">
        <v>27300.5529431</v>
      </c>
      <c r="M59" s="6">
        <v>34048.4463474</v>
      </c>
      <c r="N59" s="6">
        <v>26165.3328835</v>
      </c>
      <c r="O59" s="6">
        <v>27569.4195332</v>
      </c>
      <c r="P59" s="9">
        <v>386913.3262917</v>
      </c>
      <c r="Q59" s="11">
        <f t="shared" si="4"/>
        <v>0</v>
      </c>
      <c r="R59" s="11">
        <f t="shared" si="5"/>
        <v>0</v>
      </c>
      <c r="S59" s="11">
        <f t="shared" si="6"/>
        <v>0</v>
      </c>
      <c r="T59" s="11">
        <f t="shared" si="7"/>
        <v>0</v>
      </c>
      <c r="U59" s="11">
        <f t="shared" si="8"/>
        <v>0</v>
      </c>
      <c r="V59" s="11">
        <f t="shared" si="9"/>
        <v>0</v>
      </c>
      <c r="W59" s="11">
        <f t="shared" si="10"/>
        <v>0</v>
      </c>
      <c r="X59" s="11">
        <f t="shared" si="11"/>
        <v>0</v>
      </c>
      <c r="Y59" s="11">
        <f t="shared" si="12"/>
        <v>0</v>
      </c>
      <c r="Z59" s="11">
        <f t="shared" si="13"/>
        <v>0</v>
      </c>
      <c r="AA59" s="11">
        <f t="shared" si="14"/>
        <v>0</v>
      </c>
      <c r="AB59" s="11">
        <f t="shared" si="15"/>
        <v>0</v>
      </c>
      <c r="AC59" s="13">
        <f t="shared" si="1"/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3">
        <f t="shared" si="2"/>
        <v>0</v>
      </c>
      <c r="AQ59" s="16">
        <v>39993.7199904</v>
      </c>
      <c r="AR59" s="16">
        <v>41292.144</v>
      </c>
      <c r="AS59" s="16">
        <v>34278.603936</v>
      </c>
      <c r="AT59" s="16">
        <v>33582.0776555</v>
      </c>
      <c r="AU59" s="16">
        <v>29306.2934222</v>
      </c>
      <c r="AV59" s="16">
        <v>27179.086176</v>
      </c>
      <c r="AW59" s="16">
        <v>31484.9328</v>
      </c>
      <c r="AX59" s="16">
        <v>34712.7166044</v>
      </c>
      <c r="AY59" s="16">
        <v>27300.5529431</v>
      </c>
      <c r="AZ59" s="16">
        <v>34048.4463474</v>
      </c>
      <c r="BA59" s="16">
        <v>26165.3328835</v>
      </c>
      <c r="BB59" s="16">
        <v>27569.4195332</v>
      </c>
      <c r="BC59" s="13">
        <f t="shared" si="3"/>
        <v>386913.3262917</v>
      </c>
    </row>
    <row r="60" spans="1:55">
      <c r="A60" s="4" t="s">
        <v>23</v>
      </c>
      <c r="B60" s="4" t="s">
        <v>138</v>
      </c>
      <c r="C60" s="4" t="s">
        <v>139</v>
      </c>
      <c r="D60" s="6">
        <v>58.56</v>
      </c>
      <c r="E60" s="6">
        <v>576.56</v>
      </c>
      <c r="F60" s="6">
        <v>476.0064</v>
      </c>
      <c r="G60" s="6">
        <v>38.08</v>
      </c>
      <c r="H60" s="6">
        <v>14.3264</v>
      </c>
      <c r="I60" s="6">
        <v>7.35776</v>
      </c>
      <c r="J60" s="6">
        <v>22.8</v>
      </c>
      <c r="K60" s="6">
        <v>8.4192</v>
      </c>
      <c r="L60" s="6">
        <v>14.0644714</v>
      </c>
      <c r="M60" s="6">
        <v>15.0513359</v>
      </c>
      <c r="N60" s="6">
        <v>13.274295</v>
      </c>
      <c r="O60" s="6">
        <v>13.0735643</v>
      </c>
      <c r="P60" s="9">
        <v>1257.5734266</v>
      </c>
      <c r="Q60" s="11">
        <f t="shared" si="4"/>
        <v>0</v>
      </c>
      <c r="R60" s="11">
        <f t="shared" si="5"/>
        <v>0</v>
      </c>
      <c r="S60" s="11">
        <f t="shared" si="6"/>
        <v>0</v>
      </c>
      <c r="T60" s="11">
        <f t="shared" si="7"/>
        <v>0</v>
      </c>
      <c r="U60" s="11">
        <f t="shared" si="8"/>
        <v>0</v>
      </c>
      <c r="V60" s="11">
        <f t="shared" si="9"/>
        <v>0</v>
      </c>
      <c r="W60" s="11">
        <f t="shared" si="10"/>
        <v>0</v>
      </c>
      <c r="X60" s="11">
        <f t="shared" si="11"/>
        <v>0</v>
      </c>
      <c r="Y60" s="11">
        <f t="shared" si="12"/>
        <v>0</v>
      </c>
      <c r="Z60" s="11">
        <f t="shared" si="13"/>
        <v>0</v>
      </c>
      <c r="AA60" s="11">
        <f t="shared" si="14"/>
        <v>0</v>
      </c>
      <c r="AB60" s="11">
        <f t="shared" si="15"/>
        <v>0</v>
      </c>
      <c r="AC60" s="13">
        <f t="shared" si="1"/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3">
        <f t="shared" si="2"/>
        <v>0</v>
      </c>
      <c r="AQ60" s="16">
        <v>58.56</v>
      </c>
      <c r="AR60" s="16">
        <v>576.56</v>
      </c>
      <c r="AS60" s="16">
        <v>476.0064</v>
      </c>
      <c r="AT60" s="16">
        <v>38.08</v>
      </c>
      <c r="AU60" s="16">
        <v>14.3264</v>
      </c>
      <c r="AV60" s="16">
        <v>7.35776</v>
      </c>
      <c r="AW60" s="16">
        <v>22.8</v>
      </c>
      <c r="AX60" s="16">
        <v>8.4192</v>
      </c>
      <c r="AY60" s="16">
        <v>14.0644714</v>
      </c>
      <c r="AZ60" s="16">
        <v>15.0513359</v>
      </c>
      <c r="BA60" s="16">
        <v>13.274295</v>
      </c>
      <c r="BB60" s="16">
        <v>13.0735643</v>
      </c>
      <c r="BC60" s="13">
        <f t="shared" si="3"/>
        <v>1257.5734266</v>
      </c>
    </row>
    <row r="61" spans="1:55">
      <c r="A61" s="4" t="s">
        <v>23</v>
      </c>
      <c r="B61" s="4" t="s">
        <v>140</v>
      </c>
      <c r="C61" s="4" t="s">
        <v>141</v>
      </c>
      <c r="D61" s="6">
        <v>5094.859014</v>
      </c>
      <c r="E61" s="6">
        <v>3168.414072</v>
      </c>
      <c r="F61" s="6">
        <v>4294.678824</v>
      </c>
      <c r="G61" s="6">
        <v>6434.772552</v>
      </c>
      <c r="H61" s="6">
        <v>3755.655432</v>
      </c>
      <c r="I61" s="6">
        <v>3591.627552</v>
      </c>
      <c r="J61" s="6">
        <v>6690.241584</v>
      </c>
      <c r="K61" s="6">
        <v>4094.973072</v>
      </c>
      <c r="L61" s="6">
        <v>4814.4982471</v>
      </c>
      <c r="M61" s="6">
        <v>7734.7496304</v>
      </c>
      <c r="N61" s="6">
        <v>6138.2533732</v>
      </c>
      <c r="O61" s="6">
        <v>6138.2533732</v>
      </c>
      <c r="P61" s="9">
        <v>61950.9767259</v>
      </c>
      <c r="Q61" s="11">
        <f t="shared" si="4"/>
        <v>0</v>
      </c>
      <c r="R61" s="11">
        <f t="shared" si="5"/>
        <v>0</v>
      </c>
      <c r="S61" s="11">
        <f t="shared" si="6"/>
        <v>0</v>
      </c>
      <c r="T61" s="11">
        <f t="shared" si="7"/>
        <v>0</v>
      </c>
      <c r="U61" s="11">
        <f t="shared" si="8"/>
        <v>0</v>
      </c>
      <c r="V61" s="11">
        <f t="shared" si="9"/>
        <v>0</v>
      </c>
      <c r="W61" s="11">
        <f t="shared" si="10"/>
        <v>0</v>
      </c>
      <c r="X61" s="11">
        <f t="shared" si="11"/>
        <v>0</v>
      </c>
      <c r="Y61" s="11">
        <f t="shared" si="12"/>
        <v>0</v>
      </c>
      <c r="Z61" s="11">
        <f t="shared" si="13"/>
        <v>0</v>
      </c>
      <c r="AA61" s="11">
        <f t="shared" si="14"/>
        <v>0</v>
      </c>
      <c r="AB61" s="11">
        <f t="shared" si="15"/>
        <v>0</v>
      </c>
      <c r="AC61" s="13">
        <f t="shared" si="1"/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3">
        <f t="shared" si="2"/>
        <v>0</v>
      </c>
      <c r="AQ61" s="16">
        <v>5094.859014</v>
      </c>
      <c r="AR61" s="16">
        <v>3168.414072</v>
      </c>
      <c r="AS61" s="16">
        <v>4294.678824</v>
      </c>
      <c r="AT61" s="16">
        <v>6434.772552</v>
      </c>
      <c r="AU61" s="16">
        <v>3755.655432</v>
      </c>
      <c r="AV61" s="16">
        <v>3591.627552</v>
      </c>
      <c r="AW61" s="16">
        <v>6690.241584</v>
      </c>
      <c r="AX61" s="16">
        <v>4094.973072</v>
      </c>
      <c r="AY61" s="16">
        <v>4814.4982471</v>
      </c>
      <c r="AZ61" s="16">
        <v>7734.7496304</v>
      </c>
      <c r="BA61" s="16">
        <v>6138.2533732</v>
      </c>
      <c r="BB61" s="16">
        <v>6138.2533732</v>
      </c>
      <c r="BC61" s="13">
        <f t="shared" si="3"/>
        <v>61950.9767259</v>
      </c>
    </row>
    <row r="62" spans="1:55">
      <c r="A62" s="4" t="s">
        <v>23</v>
      </c>
      <c r="B62" s="4" t="s">
        <v>142</v>
      </c>
      <c r="C62" s="4" t="s">
        <v>143</v>
      </c>
      <c r="D62" s="6">
        <v>12439.222488</v>
      </c>
      <c r="E62" s="6">
        <v>29418.96672</v>
      </c>
      <c r="F62" s="6">
        <v>5625.36288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9">
        <v>47483.552088</v>
      </c>
      <c r="Q62" s="11">
        <f t="shared" si="4"/>
        <v>12439.222488</v>
      </c>
      <c r="R62" s="11">
        <f t="shared" si="5"/>
        <v>29418.96672</v>
      </c>
      <c r="S62" s="11">
        <f t="shared" si="6"/>
        <v>5625.36288</v>
      </c>
      <c r="T62" s="11">
        <f t="shared" si="7"/>
        <v>0</v>
      </c>
      <c r="U62" s="11">
        <f t="shared" si="8"/>
        <v>0</v>
      </c>
      <c r="V62" s="11">
        <f t="shared" si="9"/>
        <v>0</v>
      </c>
      <c r="W62" s="11">
        <f t="shared" si="10"/>
        <v>0</v>
      </c>
      <c r="X62" s="11">
        <f t="shared" si="11"/>
        <v>0</v>
      </c>
      <c r="Y62" s="11">
        <f t="shared" si="12"/>
        <v>0</v>
      </c>
      <c r="Z62" s="11">
        <f t="shared" si="13"/>
        <v>0</v>
      </c>
      <c r="AA62" s="11">
        <f t="shared" si="14"/>
        <v>0</v>
      </c>
      <c r="AB62" s="11">
        <f t="shared" si="15"/>
        <v>0</v>
      </c>
      <c r="AC62" s="13">
        <f t="shared" si="1"/>
        <v>47483.552088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3">
        <f t="shared" si="2"/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3">
        <f t="shared" si="3"/>
        <v>0</v>
      </c>
    </row>
    <row r="63" spans="1:55">
      <c r="A63" s="4" t="s">
        <v>23</v>
      </c>
      <c r="B63" s="4" t="s">
        <v>144</v>
      </c>
      <c r="C63" s="4" t="s">
        <v>145</v>
      </c>
      <c r="D63" s="6">
        <v>82571.838482</v>
      </c>
      <c r="E63" s="6">
        <v>74314.6546338</v>
      </c>
      <c r="F63" s="6">
        <v>49543.1030892</v>
      </c>
      <c r="G63" s="6">
        <v>54819.7191949</v>
      </c>
      <c r="H63" s="6">
        <v>73140.632971</v>
      </c>
      <c r="I63" s="6">
        <v>82571.838482</v>
      </c>
      <c r="J63" s="6">
        <v>97032.1905168</v>
      </c>
      <c r="K63" s="6">
        <v>75921.3031084</v>
      </c>
      <c r="L63" s="6">
        <v>97718.8284428</v>
      </c>
      <c r="M63" s="6">
        <v>72098.2960279</v>
      </c>
      <c r="N63" s="6">
        <v>52642.3733427</v>
      </c>
      <c r="O63" s="6">
        <v>56829.9629993</v>
      </c>
      <c r="P63" s="9">
        <v>869204.7412908</v>
      </c>
      <c r="Q63" s="11">
        <f t="shared" si="4"/>
        <v>0</v>
      </c>
      <c r="R63" s="11">
        <f t="shared" si="5"/>
        <v>0</v>
      </c>
      <c r="S63" s="11">
        <f t="shared" si="6"/>
        <v>0</v>
      </c>
      <c r="T63" s="11">
        <f t="shared" si="7"/>
        <v>0</v>
      </c>
      <c r="U63" s="11">
        <f t="shared" si="8"/>
        <v>0</v>
      </c>
      <c r="V63" s="11">
        <f t="shared" si="9"/>
        <v>0</v>
      </c>
      <c r="W63" s="11">
        <f t="shared" si="10"/>
        <v>0</v>
      </c>
      <c r="X63" s="11">
        <f t="shared" si="11"/>
        <v>0</v>
      </c>
      <c r="Y63" s="11">
        <f t="shared" si="12"/>
        <v>0</v>
      </c>
      <c r="Z63" s="11">
        <f t="shared" si="13"/>
        <v>0</v>
      </c>
      <c r="AA63" s="11">
        <f t="shared" si="14"/>
        <v>0</v>
      </c>
      <c r="AB63" s="11">
        <f t="shared" si="15"/>
        <v>0</v>
      </c>
      <c r="AC63" s="13">
        <f t="shared" si="1"/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3">
        <f t="shared" si="2"/>
        <v>0</v>
      </c>
      <c r="AQ63" s="16">
        <v>82571.838482</v>
      </c>
      <c r="AR63" s="16">
        <v>74314.6546338</v>
      </c>
      <c r="AS63" s="16">
        <v>49543.1030892</v>
      </c>
      <c r="AT63" s="16">
        <v>54819.7191949</v>
      </c>
      <c r="AU63" s="16">
        <v>73140.632971</v>
      </c>
      <c r="AV63" s="16">
        <v>82571.838482</v>
      </c>
      <c r="AW63" s="16">
        <v>97032.1905168</v>
      </c>
      <c r="AX63" s="16">
        <v>75921.3031084</v>
      </c>
      <c r="AY63" s="16">
        <v>97718.8284428</v>
      </c>
      <c r="AZ63" s="16">
        <v>72098.2960279</v>
      </c>
      <c r="BA63" s="16">
        <v>52642.3733427</v>
      </c>
      <c r="BB63" s="16">
        <v>56829.9629993</v>
      </c>
      <c r="BC63" s="13">
        <f t="shared" si="3"/>
        <v>869204.7412908</v>
      </c>
    </row>
    <row r="64" spans="1:55">
      <c r="A64" s="4" t="s">
        <v>23</v>
      </c>
      <c r="B64" s="4" t="s">
        <v>146</v>
      </c>
      <c r="C64" s="4" t="s">
        <v>147</v>
      </c>
      <c r="D64" s="6">
        <v>124.2</v>
      </c>
      <c r="E64" s="6">
        <v>112.2</v>
      </c>
      <c r="F64" s="6">
        <v>10.976</v>
      </c>
      <c r="G64" s="6">
        <v>34.4</v>
      </c>
      <c r="H64" s="6">
        <v>9.6</v>
      </c>
      <c r="I64" s="6">
        <v>6.792</v>
      </c>
      <c r="J64" s="6">
        <v>14.12</v>
      </c>
      <c r="K64" s="6">
        <v>3.792</v>
      </c>
      <c r="L64" s="6">
        <v>9.5242023</v>
      </c>
      <c r="M64" s="6">
        <v>11.6894041</v>
      </c>
      <c r="N64" s="6">
        <v>10.4340637</v>
      </c>
      <c r="O64" s="6">
        <v>9.9160423</v>
      </c>
      <c r="P64" s="9">
        <v>357.6437124</v>
      </c>
      <c r="Q64" s="11">
        <f t="shared" si="4"/>
        <v>0</v>
      </c>
      <c r="R64" s="11">
        <f t="shared" si="5"/>
        <v>0</v>
      </c>
      <c r="S64" s="11">
        <f t="shared" si="6"/>
        <v>0</v>
      </c>
      <c r="T64" s="11">
        <f t="shared" si="7"/>
        <v>0</v>
      </c>
      <c r="U64" s="11">
        <f t="shared" si="8"/>
        <v>0</v>
      </c>
      <c r="V64" s="11">
        <f t="shared" si="9"/>
        <v>0</v>
      </c>
      <c r="W64" s="11">
        <f t="shared" si="10"/>
        <v>0</v>
      </c>
      <c r="X64" s="11">
        <f t="shared" si="11"/>
        <v>0</v>
      </c>
      <c r="Y64" s="11">
        <f t="shared" si="12"/>
        <v>0</v>
      </c>
      <c r="Z64" s="11">
        <f t="shared" si="13"/>
        <v>0</v>
      </c>
      <c r="AA64" s="11">
        <f t="shared" si="14"/>
        <v>0</v>
      </c>
      <c r="AB64" s="11">
        <f t="shared" si="15"/>
        <v>0</v>
      </c>
      <c r="AC64" s="13">
        <f t="shared" si="1"/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3">
        <f t="shared" si="2"/>
        <v>0</v>
      </c>
      <c r="AQ64" s="16">
        <v>124.2</v>
      </c>
      <c r="AR64" s="16">
        <v>112.2</v>
      </c>
      <c r="AS64" s="16">
        <v>10.976</v>
      </c>
      <c r="AT64" s="16">
        <v>34.4</v>
      </c>
      <c r="AU64" s="16">
        <v>9.6</v>
      </c>
      <c r="AV64" s="16">
        <v>6.792</v>
      </c>
      <c r="AW64" s="16">
        <v>14.12</v>
      </c>
      <c r="AX64" s="16">
        <v>3.792</v>
      </c>
      <c r="AY64" s="16">
        <v>9.5242023</v>
      </c>
      <c r="AZ64" s="16">
        <v>11.6894041</v>
      </c>
      <c r="BA64" s="16">
        <v>10.4340637</v>
      </c>
      <c r="BB64" s="16">
        <v>9.9160423</v>
      </c>
      <c r="BC64" s="13">
        <f t="shared" si="3"/>
        <v>357.6437124</v>
      </c>
    </row>
    <row r="65" spans="1:55">
      <c r="A65" s="4" t="s">
        <v>23</v>
      </c>
      <c r="B65" s="4" t="s">
        <v>148</v>
      </c>
      <c r="C65" s="4" t="s">
        <v>149</v>
      </c>
      <c r="D65" s="6">
        <v>7.056</v>
      </c>
      <c r="E65" s="6">
        <v>80.62992</v>
      </c>
      <c r="F65" s="6">
        <v>40.83408</v>
      </c>
      <c r="G65" s="6">
        <v>13.09392</v>
      </c>
      <c r="H65" s="6">
        <v>1.52208</v>
      </c>
      <c r="I65" s="6">
        <v>6.048</v>
      </c>
      <c r="J65" s="6">
        <v>15.624</v>
      </c>
      <c r="K65" s="6">
        <v>1.512</v>
      </c>
      <c r="L65" s="6">
        <v>8.0606594</v>
      </c>
      <c r="M65" s="6">
        <v>10.3084444</v>
      </c>
      <c r="N65" s="6">
        <v>9.2474183</v>
      </c>
      <c r="O65" s="6">
        <v>8.6949833</v>
      </c>
      <c r="P65" s="9">
        <v>202.6315054</v>
      </c>
      <c r="Q65" s="11">
        <f t="shared" si="4"/>
        <v>0</v>
      </c>
      <c r="R65" s="11">
        <f t="shared" si="5"/>
        <v>0</v>
      </c>
      <c r="S65" s="11">
        <f t="shared" si="6"/>
        <v>0</v>
      </c>
      <c r="T65" s="11">
        <f t="shared" si="7"/>
        <v>0</v>
      </c>
      <c r="U65" s="11">
        <f t="shared" si="8"/>
        <v>0</v>
      </c>
      <c r="V65" s="11">
        <f t="shared" si="9"/>
        <v>0</v>
      </c>
      <c r="W65" s="11">
        <f t="shared" si="10"/>
        <v>0</v>
      </c>
      <c r="X65" s="11">
        <f t="shared" si="11"/>
        <v>0</v>
      </c>
      <c r="Y65" s="11">
        <f t="shared" si="12"/>
        <v>0</v>
      </c>
      <c r="Z65" s="11">
        <f t="shared" si="13"/>
        <v>0</v>
      </c>
      <c r="AA65" s="11">
        <f t="shared" si="14"/>
        <v>0</v>
      </c>
      <c r="AB65" s="11">
        <f t="shared" si="15"/>
        <v>0</v>
      </c>
      <c r="AC65" s="13">
        <f t="shared" si="1"/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3">
        <f t="shared" si="2"/>
        <v>0</v>
      </c>
      <c r="AQ65" s="16">
        <v>7.056</v>
      </c>
      <c r="AR65" s="16">
        <v>80.62992</v>
      </c>
      <c r="AS65" s="16">
        <v>40.83408</v>
      </c>
      <c r="AT65" s="16">
        <v>13.09392</v>
      </c>
      <c r="AU65" s="16">
        <v>1.52208</v>
      </c>
      <c r="AV65" s="16">
        <v>6.048</v>
      </c>
      <c r="AW65" s="16">
        <v>15.624</v>
      </c>
      <c r="AX65" s="16">
        <v>1.512</v>
      </c>
      <c r="AY65" s="16">
        <v>8.0606594</v>
      </c>
      <c r="AZ65" s="16">
        <v>10.3084444</v>
      </c>
      <c r="BA65" s="16">
        <v>9.2474183</v>
      </c>
      <c r="BB65" s="16">
        <v>8.6949833</v>
      </c>
      <c r="BC65" s="13">
        <f t="shared" si="3"/>
        <v>202.6315054</v>
      </c>
    </row>
    <row r="66" spans="1:55">
      <c r="A66" s="4" t="s">
        <v>23</v>
      </c>
      <c r="B66" s="4" t="s">
        <v>150</v>
      </c>
      <c r="C66" s="4" t="s">
        <v>151</v>
      </c>
      <c r="D66" s="6">
        <v>86867.5694959</v>
      </c>
      <c r="E66" s="6">
        <v>86138.9474808</v>
      </c>
      <c r="F66" s="6">
        <v>75289.0012022</v>
      </c>
      <c r="G66" s="6">
        <v>109382.06076</v>
      </c>
      <c r="H66" s="6">
        <v>109782.4557899</v>
      </c>
      <c r="I66" s="6">
        <v>116277.4395517</v>
      </c>
      <c r="J66" s="6">
        <v>110550.634441</v>
      </c>
      <c r="K66" s="6">
        <v>90108.5700375</v>
      </c>
      <c r="L66" s="6">
        <v>113318.9463459</v>
      </c>
      <c r="M66" s="6">
        <v>114390.5256991</v>
      </c>
      <c r="N66" s="6">
        <v>82901.8911131</v>
      </c>
      <c r="O66" s="6">
        <v>89530.4330614</v>
      </c>
      <c r="P66" s="9">
        <v>1184538.4749785</v>
      </c>
      <c r="Q66" s="11">
        <f t="shared" si="4"/>
        <v>86867.5694959</v>
      </c>
      <c r="R66" s="11">
        <f t="shared" si="5"/>
        <v>86138.9474808</v>
      </c>
      <c r="S66" s="11">
        <f t="shared" si="6"/>
        <v>75289.0012022</v>
      </c>
      <c r="T66" s="11">
        <f t="shared" si="7"/>
        <v>109382.06076</v>
      </c>
      <c r="U66" s="11">
        <f t="shared" si="8"/>
        <v>109782.4557899</v>
      </c>
      <c r="V66" s="11">
        <f t="shared" si="9"/>
        <v>116277.4395517</v>
      </c>
      <c r="W66" s="11">
        <f t="shared" si="10"/>
        <v>110550.634441</v>
      </c>
      <c r="X66" s="11">
        <f t="shared" si="11"/>
        <v>90108.5700375</v>
      </c>
      <c r="Y66" s="11">
        <f t="shared" si="12"/>
        <v>113318.9463459</v>
      </c>
      <c r="Z66" s="11">
        <f t="shared" si="13"/>
        <v>114390.5256991</v>
      </c>
      <c r="AA66" s="11">
        <f t="shared" si="14"/>
        <v>82901.8911131</v>
      </c>
      <c r="AB66" s="11">
        <f t="shared" si="15"/>
        <v>89530.4330614</v>
      </c>
      <c r="AC66" s="13">
        <f t="shared" si="1"/>
        <v>1184538.4749785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3">
        <f t="shared" si="2"/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3">
        <f t="shared" si="3"/>
        <v>0</v>
      </c>
    </row>
    <row r="67" spans="1:55">
      <c r="A67" s="4" t="s">
        <v>23</v>
      </c>
      <c r="B67" s="4" t="s">
        <v>152</v>
      </c>
      <c r="C67" s="4" t="s">
        <v>153</v>
      </c>
      <c r="D67" s="6">
        <v>33539.9981574</v>
      </c>
      <c r="E67" s="6">
        <v>29589.7881548</v>
      </c>
      <c r="F67" s="6">
        <v>25220.7485856</v>
      </c>
      <c r="G67" s="6">
        <v>34784.2039488</v>
      </c>
      <c r="H67" s="6">
        <v>31769.9034828</v>
      </c>
      <c r="I67" s="6">
        <v>29682.5309184</v>
      </c>
      <c r="J67" s="6">
        <v>35363.4161856</v>
      </c>
      <c r="K67" s="6">
        <v>42074.3820636</v>
      </c>
      <c r="L67" s="6">
        <v>35711.974827</v>
      </c>
      <c r="M67" s="6">
        <v>37007.0936417</v>
      </c>
      <c r="N67" s="6">
        <v>25676.4446873</v>
      </c>
      <c r="O67" s="6">
        <v>27855.9420719</v>
      </c>
      <c r="P67" s="9">
        <v>388276.4267249</v>
      </c>
      <c r="Q67" s="11">
        <f t="shared" si="4"/>
        <v>0</v>
      </c>
      <c r="R67" s="11">
        <f t="shared" si="5"/>
        <v>0</v>
      </c>
      <c r="S67" s="11">
        <f t="shared" si="6"/>
        <v>0</v>
      </c>
      <c r="T67" s="11">
        <f t="shared" si="7"/>
        <v>0</v>
      </c>
      <c r="U67" s="11">
        <f t="shared" si="8"/>
        <v>0</v>
      </c>
      <c r="V67" s="11">
        <f t="shared" si="9"/>
        <v>0</v>
      </c>
      <c r="W67" s="11">
        <f t="shared" si="10"/>
        <v>0</v>
      </c>
      <c r="X67" s="11">
        <f t="shared" si="11"/>
        <v>0</v>
      </c>
      <c r="Y67" s="11">
        <f t="shared" si="12"/>
        <v>0</v>
      </c>
      <c r="Z67" s="11">
        <f t="shared" si="13"/>
        <v>0</v>
      </c>
      <c r="AA67" s="11">
        <f t="shared" si="14"/>
        <v>0</v>
      </c>
      <c r="AB67" s="11">
        <f t="shared" si="15"/>
        <v>0</v>
      </c>
      <c r="AC67" s="13">
        <f t="shared" ref="AC67:AC130" si="16">SUM(Q67:AB67)</f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3">
        <f t="shared" ref="AP67:AP130" si="17">SUM(AD67:AO67)</f>
        <v>0</v>
      </c>
      <c r="AQ67" s="16">
        <v>33539.9981574</v>
      </c>
      <c r="AR67" s="16">
        <v>29589.7881548</v>
      </c>
      <c r="AS67" s="16">
        <v>25220.7485856</v>
      </c>
      <c r="AT67" s="16">
        <v>34784.2039488</v>
      </c>
      <c r="AU67" s="16">
        <v>31769.9034828</v>
      </c>
      <c r="AV67" s="16">
        <v>29682.5309184</v>
      </c>
      <c r="AW67" s="16">
        <v>35363.4161856</v>
      </c>
      <c r="AX67" s="16">
        <v>42074.3820636</v>
      </c>
      <c r="AY67" s="16">
        <v>35711.974827</v>
      </c>
      <c r="AZ67" s="16">
        <v>37007.0936417</v>
      </c>
      <c r="BA67" s="16">
        <v>25676.4446873</v>
      </c>
      <c r="BB67" s="16">
        <v>27855.9420719</v>
      </c>
      <c r="BC67" s="13">
        <f t="shared" ref="BC67:BC130" si="18">SUM(AQ67:BB67)</f>
        <v>388276.4267249</v>
      </c>
    </row>
    <row r="68" spans="1:55">
      <c r="A68" s="4" t="s">
        <v>23</v>
      </c>
      <c r="B68" s="4" t="s">
        <v>154</v>
      </c>
      <c r="C68" s="4" t="s">
        <v>155</v>
      </c>
      <c r="D68" s="6">
        <v>7021.5504</v>
      </c>
      <c r="E68" s="6">
        <v>6076.84848</v>
      </c>
      <c r="F68" s="6">
        <v>4844.02808</v>
      </c>
      <c r="G68" s="6">
        <v>8375.14224</v>
      </c>
      <c r="H68" s="6">
        <v>8844.8157562</v>
      </c>
      <c r="I68" s="6">
        <v>8497.01424</v>
      </c>
      <c r="J68" s="6">
        <v>9959.52168</v>
      </c>
      <c r="K68" s="6">
        <v>18595.5857244</v>
      </c>
      <c r="L68" s="6">
        <v>8815.0567297</v>
      </c>
      <c r="M68" s="6">
        <v>10034.5905414</v>
      </c>
      <c r="N68" s="6">
        <v>6848.3610688</v>
      </c>
      <c r="O68" s="6">
        <v>7362.8740676</v>
      </c>
      <c r="P68" s="9">
        <v>105275.3890081</v>
      </c>
      <c r="Q68" s="11">
        <f t="shared" ref="Q68:Q131" si="19">+D68-AD68-AQ68</f>
        <v>7021.5504</v>
      </c>
      <c r="R68" s="11">
        <f t="shared" ref="R68:R131" si="20">+E68-AE68-AR68</f>
        <v>6076.84848</v>
      </c>
      <c r="S68" s="11">
        <f t="shared" ref="S68:S131" si="21">+F68-AF68-AS68</f>
        <v>4844.02808</v>
      </c>
      <c r="T68" s="11">
        <f t="shared" ref="T68:T131" si="22">+G68-AG68-AT68</f>
        <v>8375.14224</v>
      </c>
      <c r="U68" s="11">
        <f t="shared" ref="U68:U131" si="23">+H68-AH68-AU68</f>
        <v>8844.8157562</v>
      </c>
      <c r="V68" s="11">
        <f t="shared" ref="V68:V131" si="24">+I68-AI68-AV68</f>
        <v>8497.01424</v>
      </c>
      <c r="W68" s="11">
        <f t="shared" ref="W68:W131" si="25">+J68-AJ68-AW68</f>
        <v>9959.52168</v>
      </c>
      <c r="X68" s="11">
        <f t="shared" ref="X68:X131" si="26">+K68-AK68-AX68</f>
        <v>18595.5857244</v>
      </c>
      <c r="Y68" s="11">
        <f t="shared" ref="Y68:Y131" si="27">+L68-AL68-AY68</f>
        <v>8815.0567297</v>
      </c>
      <c r="Z68" s="11">
        <f t="shared" ref="Z68:Z131" si="28">+M68-AM68-AZ68</f>
        <v>10034.5905414</v>
      </c>
      <c r="AA68" s="11">
        <f t="shared" ref="AA68:AA131" si="29">+N68-AN68-BA68</f>
        <v>6848.3610688</v>
      </c>
      <c r="AB68" s="11">
        <f t="shared" ref="AB68:AB131" si="30">+O68-AO68-BB68</f>
        <v>7362.8740676</v>
      </c>
      <c r="AC68" s="13">
        <f t="shared" si="16"/>
        <v>105275.3890081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3">
        <f t="shared" si="17"/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3">
        <f t="shared" si="18"/>
        <v>0</v>
      </c>
    </row>
    <row r="69" spans="1:55">
      <c r="A69" s="4" t="s">
        <v>23</v>
      </c>
      <c r="B69" s="4" t="s">
        <v>156</v>
      </c>
      <c r="C69" s="4" t="s">
        <v>157</v>
      </c>
      <c r="D69" s="6">
        <v>49353.3597574</v>
      </c>
      <c r="E69" s="6">
        <v>49847.351724</v>
      </c>
      <c r="F69" s="6">
        <v>35017.2228</v>
      </c>
      <c r="G69" s="6">
        <v>66078.1753632</v>
      </c>
      <c r="H69" s="6">
        <v>67367.7332572</v>
      </c>
      <c r="I69" s="6">
        <v>64451.9029626</v>
      </c>
      <c r="J69" s="6">
        <v>67484.0504736</v>
      </c>
      <c r="K69" s="6">
        <v>66364.894025</v>
      </c>
      <c r="L69" s="6">
        <v>70750.012884</v>
      </c>
      <c r="M69" s="6">
        <v>70942.5517538</v>
      </c>
      <c r="N69" s="6">
        <v>55457.6608458</v>
      </c>
      <c r="O69" s="6">
        <v>59143.2805805</v>
      </c>
      <c r="P69" s="9">
        <v>722258.1964271</v>
      </c>
      <c r="Q69" s="11">
        <f t="shared" si="19"/>
        <v>0</v>
      </c>
      <c r="R69" s="11">
        <f t="shared" si="20"/>
        <v>0</v>
      </c>
      <c r="S69" s="11">
        <f t="shared" si="21"/>
        <v>0</v>
      </c>
      <c r="T69" s="11">
        <f t="shared" si="22"/>
        <v>0</v>
      </c>
      <c r="U69" s="11">
        <f t="shared" si="23"/>
        <v>0</v>
      </c>
      <c r="V69" s="11">
        <f t="shared" si="24"/>
        <v>0</v>
      </c>
      <c r="W69" s="11">
        <f t="shared" si="25"/>
        <v>0</v>
      </c>
      <c r="X69" s="11">
        <f t="shared" si="26"/>
        <v>0</v>
      </c>
      <c r="Y69" s="11">
        <f t="shared" si="27"/>
        <v>0</v>
      </c>
      <c r="Z69" s="11">
        <f t="shared" si="28"/>
        <v>0</v>
      </c>
      <c r="AA69" s="11">
        <f t="shared" si="29"/>
        <v>0</v>
      </c>
      <c r="AB69" s="11">
        <f t="shared" si="30"/>
        <v>0</v>
      </c>
      <c r="AC69" s="13">
        <f t="shared" si="16"/>
        <v>0</v>
      </c>
      <c r="AD69" s="15">
        <v>49353.3597574</v>
      </c>
      <c r="AE69" s="15">
        <v>49847.351724</v>
      </c>
      <c r="AF69" s="15">
        <v>35017.2228</v>
      </c>
      <c r="AG69" s="15">
        <v>66078.1753632</v>
      </c>
      <c r="AH69" s="15">
        <v>67367.7332572</v>
      </c>
      <c r="AI69" s="15">
        <v>64451.9029626</v>
      </c>
      <c r="AJ69" s="15">
        <v>67484.0504736</v>
      </c>
      <c r="AK69" s="15">
        <v>66364.894025</v>
      </c>
      <c r="AL69" s="15">
        <v>70750.012884</v>
      </c>
      <c r="AM69" s="15">
        <v>70942.5517538</v>
      </c>
      <c r="AN69" s="15">
        <v>55457.6608458</v>
      </c>
      <c r="AO69" s="15">
        <v>59143.2805805</v>
      </c>
      <c r="AP69" s="13">
        <f t="shared" si="17"/>
        <v>722258.1964271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3">
        <f t="shared" si="18"/>
        <v>0</v>
      </c>
    </row>
    <row r="70" spans="1:55">
      <c r="A70" s="4" t="s">
        <v>23</v>
      </c>
      <c r="B70" s="4" t="s">
        <v>158</v>
      </c>
      <c r="C70" s="4" t="s">
        <v>159</v>
      </c>
      <c r="D70" s="6">
        <v>92147.4683808</v>
      </c>
      <c r="E70" s="6">
        <v>84602.4186816</v>
      </c>
      <c r="F70" s="6">
        <v>73669.0890912</v>
      </c>
      <c r="G70" s="6">
        <v>104652.6874416</v>
      </c>
      <c r="H70" s="6">
        <v>104922.3955187</v>
      </c>
      <c r="I70" s="6">
        <v>107497.8417816</v>
      </c>
      <c r="J70" s="6">
        <v>86779.0320845</v>
      </c>
      <c r="K70" s="6">
        <v>103959.8315191</v>
      </c>
      <c r="L70" s="6">
        <v>121198.788534</v>
      </c>
      <c r="M70" s="6">
        <v>73273.2120103</v>
      </c>
      <c r="N70" s="6">
        <v>58132.1551981</v>
      </c>
      <c r="O70" s="6">
        <v>62733.6615591</v>
      </c>
      <c r="P70" s="9">
        <v>1073568.5818006</v>
      </c>
      <c r="Q70" s="11">
        <f t="shared" si="19"/>
        <v>0</v>
      </c>
      <c r="R70" s="11">
        <f t="shared" si="20"/>
        <v>0</v>
      </c>
      <c r="S70" s="11">
        <f t="shared" si="21"/>
        <v>0</v>
      </c>
      <c r="T70" s="11">
        <f t="shared" si="22"/>
        <v>0</v>
      </c>
      <c r="U70" s="11">
        <f t="shared" si="23"/>
        <v>0</v>
      </c>
      <c r="V70" s="11">
        <f t="shared" si="24"/>
        <v>0</v>
      </c>
      <c r="W70" s="11">
        <f t="shared" si="25"/>
        <v>0</v>
      </c>
      <c r="X70" s="11">
        <f t="shared" si="26"/>
        <v>0</v>
      </c>
      <c r="Y70" s="11">
        <f t="shared" si="27"/>
        <v>0</v>
      </c>
      <c r="Z70" s="11">
        <f t="shared" si="28"/>
        <v>0</v>
      </c>
      <c r="AA70" s="11">
        <f t="shared" si="29"/>
        <v>0</v>
      </c>
      <c r="AB70" s="11">
        <f t="shared" si="30"/>
        <v>0</v>
      </c>
      <c r="AC70" s="13">
        <f t="shared" si="16"/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3">
        <f t="shared" si="17"/>
        <v>0</v>
      </c>
      <c r="AQ70" s="16">
        <v>92147.4683808</v>
      </c>
      <c r="AR70" s="16">
        <v>84602.4186816</v>
      </c>
      <c r="AS70" s="16">
        <v>73669.0890912</v>
      </c>
      <c r="AT70" s="16">
        <v>104652.6874416</v>
      </c>
      <c r="AU70" s="16">
        <v>104922.3955187</v>
      </c>
      <c r="AV70" s="16">
        <v>107497.8417816</v>
      </c>
      <c r="AW70" s="16">
        <v>86779.0320845</v>
      </c>
      <c r="AX70" s="16">
        <v>103959.8315191</v>
      </c>
      <c r="AY70" s="16">
        <v>121198.788534</v>
      </c>
      <c r="AZ70" s="16">
        <v>73273.2120103</v>
      </c>
      <c r="BA70" s="16">
        <v>58132.1551981</v>
      </c>
      <c r="BB70" s="16">
        <v>62733.6615591</v>
      </c>
      <c r="BC70" s="13">
        <f t="shared" si="18"/>
        <v>1073568.5818006</v>
      </c>
    </row>
    <row r="71" spans="1:55">
      <c r="A71" s="4" t="s">
        <v>23</v>
      </c>
      <c r="B71" s="4" t="s">
        <v>160</v>
      </c>
      <c r="C71" s="4" t="s">
        <v>161</v>
      </c>
      <c r="D71" s="6">
        <v>9255.27624</v>
      </c>
      <c r="E71" s="6">
        <v>8160.86936</v>
      </c>
      <c r="F71" s="6">
        <v>5946.0244</v>
      </c>
      <c r="G71" s="6">
        <v>10331.8388</v>
      </c>
      <c r="H71" s="6">
        <v>10323.9177082</v>
      </c>
      <c r="I71" s="6">
        <v>20529.55664</v>
      </c>
      <c r="J71" s="6">
        <v>9952.74144</v>
      </c>
      <c r="K71" s="6">
        <v>19941.2714844</v>
      </c>
      <c r="L71" s="6">
        <v>9808.4195737</v>
      </c>
      <c r="M71" s="6">
        <v>10585.5010833</v>
      </c>
      <c r="N71" s="6">
        <v>7365.976775</v>
      </c>
      <c r="O71" s="6">
        <v>7914.3542467</v>
      </c>
      <c r="P71" s="9">
        <v>130115.7477513</v>
      </c>
      <c r="Q71" s="11">
        <f t="shared" si="19"/>
        <v>0</v>
      </c>
      <c r="R71" s="11">
        <f t="shared" si="20"/>
        <v>0</v>
      </c>
      <c r="S71" s="11">
        <f t="shared" si="21"/>
        <v>0</v>
      </c>
      <c r="T71" s="11">
        <f t="shared" si="22"/>
        <v>0</v>
      </c>
      <c r="U71" s="11">
        <f t="shared" si="23"/>
        <v>0</v>
      </c>
      <c r="V71" s="11">
        <f t="shared" si="24"/>
        <v>0</v>
      </c>
      <c r="W71" s="11">
        <f t="shared" si="25"/>
        <v>0</v>
      </c>
      <c r="X71" s="11">
        <f t="shared" si="26"/>
        <v>0</v>
      </c>
      <c r="Y71" s="11">
        <f t="shared" si="27"/>
        <v>0</v>
      </c>
      <c r="Z71" s="11">
        <f t="shared" si="28"/>
        <v>0</v>
      </c>
      <c r="AA71" s="11">
        <f t="shared" si="29"/>
        <v>0</v>
      </c>
      <c r="AB71" s="11">
        <f t="shared" si="30"/>
        <v>0</v>
      </c>
      <c r="AC71" s="13">
        <f t="shared" si="16"/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3">
        <f t="shared" si="17"/>
        <v>0</v>
      </c>
      <c r="AQ71" s="16">
        <v>9255.27624</v>
      </c>
      <c r="AR71" s="16">
        <v>8160.86936</v>
      </c>
      <c r="AS71" s="16">
        <v>5946.0244</v>
      </c>
      <c r="AT71" s="16">
        <v>10331.8388</v>
      </c>
      <c r="AU71" s="16">
        <v>10323.9177082</v>
      </c>
      <c r="AV71" s="16">
        <v>20529.55664</v>
      </c>
      <c r="AW71" s="16">
        <v>9952.74144</v>
      </c>
      <c r="AX71" s="16">
        <v>19941.2714844</v>
      </c>
      <c r="AY71" s="16">
        <v>9808.4195737</v>
      </c>
      <c r="AZ71" s="16">
        <v>10585.5010833</v>
      </c>
      <c r="BA71" s="16">
        <v>7365.976775</v>
      </c>
      <c r="BB71" s="16">
        <v>7914.3542467</v>
      </c>
      <c r="BC71" s="13">
        <f t="shared" si="18"/>
        <v>130115.7477513</v>
      </c>
    </row>
    <row r="72" spans="1:55">
      <c r="A72" s="4" t="s">
        <v>23</v>
      </c>
      <c r="B72" s="4" t="s">
        <v>162</v>
      </c>
      <c r="C72" s="4" t="s">
        <v>163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14.25</v>
      </c>
      <c r="L72" s="6">
        <v>14.3160645</v>
      </c>
      <c r="M72" s="6">
        <v>22.9995253</v>
      </c>
      <c r="N72" s="6">
        <v>18.2522927</v>
      </c>
      <c r="O72" s="6">
        <v>18.2522927</v>
      </c>
      <c r="P72" s="9">
        <v>88.0701752</v>
      </c>
      <c r="Q72" s="11">
        <f t="shared" si="19"/>
        <v>0</v>
      </c>
      <c r="R72" s="11">
        <f t="shared" si="20"/>
        <v>0</v>
      </c>
      <c r="S72" s="11">
        <f t="shared" si="21"/>
        <v>0</v>
      </c>
      <c r="T72" s="11">
        <f t="shared" si="22"/>
        <v>0</v>
      </c>
      <c r="U72" s="11">
        <f t="shared" si="23"/>
        <v>0</v>
      </c>
      <c r="V72" s="11">
        <f t="shared" si="24"/>
        <v>0</v>
      </c>
      <c r="W72" s="11">
        <f t="shared" si="25"/>
        <v>0</v>
      </c>
      <c r="X72" s="11">
        <f t="shared" si="26"/>
        <v>0</v>
      </c>
      <c r="Y72" s="11">
        <f t="shared" si="27"/>
        <v>0</v>
      </c>
      <c r="Z72" s="11">
        <f t="shared" si="28"/>
        <v>0</v>
      </c>
      <c r="AA72" s="11">
        <f t="shared" si="29"/>
        <v>0</v>
      </c>
      <c r="AB72" s="11">
        <f t="shared" si="30"/>
        <v>0</v>
      </c>
      <c r="AC72" s="13">
        <f t="shared" si="16"/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3">
        <f t="shared" si="17"/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14.25</v>
      </c>
      <c r="AY72" s="16">
        <v>14.3160645</v>
      </c>
      <c r="AZ72" s="16">
        <v>22.9995253</v>
      </c>
      <c r="BA72" s="16">
        <v>18.2522927</v>
      </c>
      <c r="BB72" s="16">
        <v>18.2522927</v>
      </c>
      <c r="BC72" s="13">
        <f t="shared" si="18"/>
        <v>88.0701752</v>
      </c>
    </row>
    <row r="73" spans="1:55">
      <c r="A73" s="4" t="s">
        <v>23</v>
      </c>
      <c r="B73" s="4" t="s">
        <v>164</v>
      </c>
      <c r="C73" s="4" t="s">
        <v>165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126.48</v>
      </c>
      <c r="L73" s="6">
        <v>127.0663744</v>
      </c>
      <c r="M73" s="6">
        <v>204.1389449</v>
      </c>
      <c r="N73" s="6">
        <v>162.0035072</v>
      </c>
      <c r="O73" s="6">
        <v>162.0035072</v>
      </c>
      <c r="P73" s="9">
        <v>781.6923337</v>
      </c>
      <c r="Q73" s="11">
        <f t="shared" si="19"/>
        <v>0</v>
      </c>
      <c r="R73" s="11">
        <f t="shared" si="20"/>
        <v>0</v>
      </c>
      <c r="S73" s="11">
        <f t="shared" si="21"/>
        <v>0</v>
      </c>
      <c r="T73" s="11">
        <f t="shared" si="22"/>
        <v>0</v>
      </c>
      <c r="U73" s="11">
        <f t="shared" si="23"/>
        <v>0</v>
      </c>
      <c r="V73" s="11">
        <f t="shared" si="24"/>
        <v>0</v>
      </c>
      <c r="W73" s="11">
        <f t="shared" si="25"/>
        <v>0</v>
      </c>
      <c r="X73" s="11">
        <f t="shared" si="26"/>
        <v>0</v>
      </c>
      <c r="Y73" s="11">
        <f t="shared" si="27"/>
        <v>0</v>
      </c>
      <c r="Z73" s="11">
        <f t="shared" si="28"/>
        <v>0</v>
      </c>
      <c r="AA73" s="11">
        <f t="shared" si="29"/>
        <v>0</v>
      </c>
      <c r="AB73" s="11">
        <f t="shared" si="30"/>
        <v>0</v>
      </c>
      <c r="AC73" s="13">
        <f t="shared" si="16"/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3">
        <f t="shared" si="17"/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126.48</v>
      </c>
      <c r="AY73" s="16">
        <v>127.0663744</v>
      </c>
      <c r="AZ73" s="16">
        <v>204.1389449</v>
      </c>
      <c r="BA73" s="16">
        <v>162.0035072</v>
      </c>
      <c r="BB73" s="16">
        <v>162.0035072</v>
      </c>
      <c r="BC73" s="13">
        <f t="shared" si="18"/>
        <v>781.6923337</v>
      </c>
    </row>
    <row r="74" spans="1:55">
      <c r="A74" s="4" t="s">
        <v>23</v>
      </c>
      <c r="B74" s="4" t="s">
        <v>166</v>
      </c>
      <c r="C74" s="4" t="s">
        <v>167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33.132</v>
      </c>
      <c r="L74" s="6">
        <v>33.2856034</v>
      </c>
      <c r="M74" s="6">
        <v>53.4751069</v>
      </c>
      <c r="N74" s="6">
        <v>42.4375411</v>
      </c>
      <c r="O74" s="6">
        <v>42.4375411</v>
      </c>
      <c r="P74" s="9">
        <v>204.7677925</v>
      </c>
      <c r="Q74" s="11">
        <f t="shared" si="19"/>
        <v>0</v>
      </c>
      <c r="R74" s="11">
        <f t="shared" si="20"/>
        <v>0</v>
      </c>
      <c r="S74" s="11">
        <f t="shared" si="21"/>
        <v>0</v>
      </c>
      <c r="T74" s="11">
        <f t="shared" si="22"/>
        <v>0</v>
      </c>
      <c r="U74" s="11">
        <f t="shared" si="23"/>
        <v>0</v>
      </c>
      <c r="V74" s="11">
        <f t="shared" si="24"/>
        <v>0</v>
      </c>
      <c r="W74" s="11">
        <f t="shared" si="25"/>
        <v>0</v>
      </c>
      <c r="X74" s="11">
        <f t="shared" si="26"/>
        <v>0</v>
      </c>
      <c r="Y74" s="11">
        <f t="shared" si="27"/>
        <v>0</v>
      </c>
      <c r="Z74" s="11">
        <f t="shared" si="28"/>
        <v>0</v>
      </c>
      <c r="AA74" s="11">
        <f t="shared" si="29"/>
        <v>0</v>
      </c>
      <c r="AB74" s="11">
        <f t="shared" si="30"/>
        <v>0</v>
      </c>
      <c r="AC74" s="13">
        <f t="shared" si="16"/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33.132</v>
      </c>
      <c r="AL74" s="15">
        <v>33.2856034</v>
      </c>
      <c r="AM74" s="15">
        <v>53.4751069</v>
      </c>
      <c r="AN74" s="15">
        <v>42.4375411</v>
      </c>
      <c r="AO74" s="15">
        <v>42.4375411</v>
      </c>
      <c r="AP74" s="13">
        <f t="shared" si="17"/>
        <v>204.7677925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3">
        <f t="shared" si="18"/>
        <v>0</v>
      </c>
    </row>
    <row r="75" spans="1:55">
      <c r="A75" s="4" t="s">
        <v>23</v>
      </c>
      <c r="B75" s="4" t="s">
        <v>168</v>
      </c>
      <c r="C75" s="4" t="s">
        <v>169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48.96</v>
      </c>
      <c r="L75" s="6">
        <v>49.1869836</v>
      </c>
      <c r="M75" s="6">
        <v>79.0215271</v>
      </c>
      <c r="N75" s="6">
        <v>62.711035</v>
      </c>
      <c r="O75" s="6">
        <v>62.711035</v>
      </c>
      <c r="P75" s="9">
        <v>302.5905807</v>
      </c>
      <c r="Q75" s="11">
        <f t="shared" si="19"/>
        <v>0</v>
      </c>
      <c r="R75" s="11">
        <f t="shared" si="20"/>
        <v>0</v>
      </c>
      <c r="S75" s="11">
        <f t="shared" si="21"/>
        <v>0</v>
      </c>
      <c r="T75" s="11">
        <f t="shared" si="22"/>
        <v>0</v>
      </c>
      <c r="U75" s="11">
        <f t="shared" si="23"/>
        <v>0</v>
      </c>
      <c r="V75" s="11">
        <f t="shared" si="24"/>
        <v>0</v>
      </c>
      <c r="W75" s="11">
        <f t="shared" si="25"/>
        <v>0</v>
      </c>
      <c r="X75" s="11">
        <f t="shared" si="26"/>
        <v>48.96</v>
      </c>
      <c r="Y75" s="11">
        <f t="shared" si="27"/>
        <v>49.1869836</v>
      </c>
      <c r="Z75" s="11">
        <f t="shared" si="28"/>
        <v>79.0215271</v>
      </c>
      <c r="AA75" s="11">
        <f t="shared" si="29"/>
        <v>62.711035</v>
      </c>
      <c r="AB75" s="11">
        <f t="shared" si="30"/>
        <v>62.711035</v>
      </c>
      <c r="AC75" s="13">
        <f t="shared" si="16"/>
        <v>302.5905807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3">
        <f t="shared" si="17"/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3">
        <f t="shared" si="18"/>
        <v>0</v>
      </c>
    </row>
    <row r="76" spans="1:55">
      <c r="A76" s="4" t="s">
        <v>23</v>
      </c>
      <c r="B76" s="4" t="s">
        <v>170</v>
      </c>
      <c r="C76" s="4" t="s">
        <v>171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9.18</v>
      </c>
      <c r="L76" s="6">
        <v>9.2225594</v>
      </c>
      <c r="M76" s="6">
        <v>14.8165363</v>
      </c>
      <c r="N76" s="6">
        <v>11.7583191</v>
      </c>
      <c r="O76" s="6">
        <v>11.7583191</v>
      </c>
      <c r="P76" s="9">
        <v>56.7357339</v>
      </c>
      <c r="Q76" s="11">
        <f t="shared" si="19"/>
        <v>0</v>
      </c>
      <c r="R76" s="11">
        <f t="shared" si="20"/>
        <v>0</v>
      </c>
      <c r="S76" s="11">
        <f t="shared" si="21"/>
        <v>0</v>
      </c>
      <c r="T76" s="11">
        <f t="shared" si="22"/>
        <v>0</v>
      </c>
      <c r="U76" s="11">
        <f t="shared" si="23"/>
        <v>0</v>
      </c>
      <c r="V76" s="11">
        <f t="shared" si="24"/>
        <v>0</v>
      </c>
      <c r="W76" s="11">
        <f t="shared" si="25"/>
        <v>0</v>
      </c>
      <c r="X76" s="11">
        <f t="shared" si="26"/>
        <v>9.18</v>
      </c>
      <c r="Y76" s="11">
        <f t="shared" si="27"/>
        <v>9.2225594</v>
      </c>
      <c r="Z76" s="11">
        <f t="shared" si="28"/>
        <v>14.8165363</v>
      </c>
      <c r="AA76" s="11">
        <f t="shared" si="29"/>
        <v>11.7583191</v>
      </c>
      <c r="AB76" s="11">
        <f t="shared" si="30"/>
        <v>11.7583191</v>
      </c>
      <c r="AC76" s="13">
        <f t="shared" si="16"/>
        <v>56.7357339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3">
        <f t="shared" si="17"/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3">
        <f t="shared" si="18"/>
        <v>0</v>
      </c>
    </row>
    <row r="77" spans="1:55">
      <c r="A77" s="4" t="s">
        <v>23</v>
      </c>
      <c r="B77" s="4" t="s">
        <v>172</v>
      </c>
      <c r="C77" s="4" t="s">
        <v>173</v>
      </c>
      <c r="D77" s="6">
        <v>750</v>
      </c>
      <c r="E77" s="6">
        <v>710</v>
      </c>
      <c r="F77" s="6">
        <v>360</v>
      </c>
      <c r="G77" s="6">
        <v>1080</v>
      </c>
      <c r="H77" s="6">
        <v>1190</v>
      </c>
      <c r="I77" s="6">
        <v>690</v>
      </c>
      <c r="J77" s="6">
        <v>590</v>
      </c>
      <c r="K77" s="6">
        <v>930</v>
      </c>
      <c r="L77" s="6">
        <v>1150</v>
      </c>
      <c r="M77" s="6">
        <v>1250</v>
      </c>
      <c r="N77" s="6">
        <v>0</v>
      </c>
      <c r="O77" s="6">
        <v>0</v>
      </c>
      <c r="P77" s="9">
        <v>8700</v>
      </c>
      <c r="Q77" s="11">
        <f t="shared" si="19"/>
        <v>750</v>
      </c>
      <c r="R77" s="11">
        <f t="shared" si="20"/>
        <v>710</v>
      </c>
      <c r="S77" s="11">
        <f t="shared" si="21"/>
        <v>360</v>
      </c>
      <c r="T77" s="11">
        <f t="shared" si="22"/>
        <v>1080</v>
      </c>
      <c r="U77" s="11">
        <f t="shared" si="23"/>
        <v>1190</v>
      </c>
      <c r="V77" s="11">
        <f t="shared" si="24"/>
        <v>690</v>
      </c>
      <c r="W77" s="11">
        <f t="shared" si="25"/>
        <v>590</v>
      </c>
      <c r="X77" s="11">
        <f t="shared" si="26"/>
        <v>930</v>
      </c>
      <c r="Y77" s="11">
        <f t="shared" si="27"/>
        <v>1150</v>
      </c>
      <c r="Z77" s="11">
        <f t="shared" si="28"/>
        <v>1250</v>
      </c>
      <c r="AA77" s="11">
        <f t="shared" si="29"/>
        <v>0</v>
      </c>
      <c r="AB77" s="11">
        <f t="shared" si="30"/>
        <v>0</v>
      </c>
      <c r="AC77" s="13">
        <f t="shared" si="16"/>
        <v>8700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3">
        <f t="shared" si="17"/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3">
        <f t="shared" si="18"/>
        <v>0</v>
      </c>
    </row>
    <row r="78" spans="1:55">
      <c r="A78" s="4" t="s">
        <v>23</v>
      </c>
      <c r="B78" s="4" t="s">
        <v>174</v>
      </c>
      <c r="C78" s="4" t="s">
        <v>175</v>
      </c>
      <c r="D78" s="6">
        <v>1780</v>
      </c>
      <c r="E78" s="6">
        <v>650</v>
      </c>
      <c r="F78" s="6">
        <v>1580</v>
      </c>
      <c r="G78" s="6">
        <v>1340</v>
      </c>
      <c r="H78" s="6">
        <v>940</v>
      </c>
      <c r="I78" s="6">
        <v>380</v>
      </c>
      <c r="J78" s="6">
        <v>490</v>
      </c>
      <c r="K78" s="6">
        <v>1390</v>
      </c>
      <c r="L78" s="6">
        <v>2100</v>
      </c>
      <c r="M78" s="6">
        <v>1700</v>
      </c>
      <c r="N78" s="6">
        <v>0</v>
      </c>
      <c r="O78" s="6">
        <v>0</v>
      </c>
      <c r="P78" s="9">
        <v>12350</v>
      </c>
      <c r="Q78" s="11">
        <f t="shared" si="19"/>
        <v>1780</v>
      </c>
      <c r="R78" s="11">
        <f t="shared" si="20"/>
        <v>650</v>
      </c>
      <c r="S78" s="11">
        <f t="shared" si="21"/>
        <v>1580</v>
      </c>
      <c r="T78" s="11">
        <f t="shared" si="22"/>
        <v>1340</v>
      </c>
      <c r="U78" s="11">
        <f t="shared" si="23"/>
        <v>940</v>
      </c>
      <c r="V78" s="11">
        <f t="shared" si="24"/>
        <v>380</v>
      </c>
      <c r="W78" s="11">
        <f t="shared" si="25"/>
        <v>490</v>
      </c>
      <c r="X78" s="11">
        <f t="shared" si="26"/>
        <v>1390</v>
      </c>
      <c r="Y78" s="11">
        <f t="shared" si="27"/>
        <v>2100</v>
      </c>
      <c r="Z78" s="11">
        <f t="shared" si="28"/>
        <v>1700</v>
      </c>
      <c r="AA78" s="11">
        <f t="shared" si="29"/>
        <v>0</v>
      </c>
      <c r="AB78" s="11">
        <f t="shared" si="30"/>
        <v>0</v>
      </c>
      <c r="AC78" s="13">
        <f t="shared" si="16"/>
        <v>12350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3">
        <f t="shared" si="17"/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3">
        <f t="shared" si="18"/>
        <v>0</v>
      </c>
    </row>
    <row r="79" spans="1:55">
      <c r="A79" s="4" t="s">
        <v>23</v>
      </c>
      <c r="B79" s="4" t="s">
        <v>176</v>
      </c>
      <c r="C79" s="4" t="s">
        <v>177</v>
      </c>
      <c r="D79" s="6">
        <v>0</v>
      </c>
      <c r="E79" s="6">
        <v>0</v>
      </c>
      <c r="F79" s="6">
        <v>300</v>
      </c>
      <c r="G79" s="6">
        <v>110</v>
      </c>
      <c r="H79" s="6">
        <v>0</v>
      </c>
      <c r="I79" s="6">
        <v>370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9">
        <v>780</v>
      </c>
      <c r="Q79" s="11">
        <f t="shared" si="19"/>
        <v>0</v>
      </c>
      <c r="R79" s="11">
        <f t="shared" si="20"/>
        <v>0</v>
      </c>
      <c r="S79" s="11">
        <f t="shared" si="21"/>
        <v>300</v>
      </c>
      <c r="T79" s="11">
        <f t="shared" si="22"/>
        <v>110</v>
      </c>
      <c r="U79" s="11">
        <f t="shared" si="23"/>
        <v>0</v>
      </c>
      <c r="V79" s="11">
        <f t="shared" si="24"/>
        <v>370</v>
      </c>
      <c r="W79" s="11">
        <f t="shared" si="25"/>
        <v>0</v>
      </c>
      <c r="X79" s="11">
        <f t="shared" si="26"/>
        <v>0</v>
      </c>
      <c r="Y79" s="11">
        <f t="shared" si="27"/>
        <v>0</v>
      </c>
      <c r="Z79" s="11">
        <f t="shared" si="28"/>
        <v>0</v>
      </c>
      <c r="AA79" s="11">
        <f t="shared" si="29"/>
        <v>0</v>
      </c>
      <c r="AB79" s="11">
        <f t="shared" si="30"/>
        <v>0</v>
      </c>
      <c r="AC79" s="13">
        <f t="shared" si="16"/>
        <v>780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3">
        <f t="shared" si="17"/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3">
        <f t="shared" si="18"/>
        <v>0</v>
      </c>
    </row>
    <row r="80" spans="1:55">
      <c r="A80" s="4" t="s">
        <v>23</v>
      </c>
      <c r="B80" s="4" t="s">
        <v>178</v>
      </c>
      <c r="C80" s="4" t="s">
        <v>179</v>
      </c>
      <c r="D80" s="6">
        <v>0</v>
      </c>
      <c r="E80" s="6">
        <v>0</v>
      </c>
      <c r="F80" s="6">
        <v>0</v>
      </c>
      <c r="G80" s="6">
        <v>0</v>
      </c>
      <c r="H80" s="6">
        <v>50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9">
        <v>50</v>
      </c>
      <c r="Q80" s="11">
        <f t="shared" si="19"/>
        <v>0</v>
      </c>
      <c r="R80" s="11">
        <f t="shared" si="20"/>
        <v>0</v>
      </c>
      <c r="S80" s="11">
        <f t="shared" si="21"/>
        <v>0</v>
      </c>
      <c r="T80" s="11">
        <f t="shared" si="22"/>
        <v>0</v>
      </c>
      <c r="U80" s="11">
        <f t="shared" si="23"/>
        <v>50</v>
      </c>
      <c r="V80" s="11">
        <f t="shared" si="24"/>
        <v>0</v>
      </c>
      <c r="W80" s="11">
        <f t="shared" si="25"/>
        <v>0</v>
      </c>
      <c r="X80" s="11">
        <f t="shared" si="26"/>
        <v>0</v>
      </c>
      <c r="Y80" s="11">
        <f t="shared" si="27"/>
        <v>0</v>
      </c>
      <c r="Z80" s="11">
        <f t="shared" si="28"/>
        <v>0</v>
      </c>
      <c r="AA80" s="11">
        <f t="shared" si="29"/>
        <v>0</v>
      </c>
      <c r="AB80" s="11">
        <f t="shared" si="30"/>
        <v>0</v>
      </c>
      <c r="AC80" s="13">
        <f t="shared" si="16"/>
        <v>50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3">
        <f t="shared" si="17"/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3">
        <f t="shared" si="18"/>
        <v>0</v>
      </c>
    </row>
    <row r="81" spans="1:55">
      <c r="A81" s="4" t="s">
        <v>23</v>
      </c>
      <c r="B81" s="4" t="s">
        <v>180</v>
      </c>
      <c r="C81" s="4" t="s">
        <v>181</v>
      </c>
      <c r="D81" s="6">
        <v>0</v>
      </c>
      <c r="E81" s="6">
        <v>750</v>
      </c>
      <c r="F81" s="6">
        <v>0</v>
      </c>
      <c r="G81" s="6">
        <v>0</v>
      </c>
      <c r="H81" s="6">
        <v>200</v>
      </c>
      <c r="I81" s="6">
        <v>240</v>
      </c>
      <c r="J81" s="6">
        <v>720</v>
      </c>
      <c r="K81" s="6">
        <v>230</v>
      </c>
      <c r="L81" s="6">
        <v>750</v>
      </c>
      <c r="M81" s="6">
        <v>480</v>
      </c>
      <c r="N81" s="6">
        <v>0</v>
      </c>
      <c r="O81" s="6">
        <v>0</v>
      </c>
      <c r="P81" s="9">
        <v>3370</v>
      </c>
      <c r="Q81" s="11">
        <f t="shared" si="19"/>
        <v>0</v>
      </c>
      <c r="R81" s="11">
        <f t="shared" si="20"/>
        <v>750</v>
      </c>
      <c r="S81" s="11">
        <f t="shared" si="21"/>
        <v>0</v>
      </c>
      <c r="T81" s="11">
        <f t="shared" si="22"/>
        <v>0</v>
      </c>
      <c r="U81" s="11">
        <f t="shared" si="23"/>
        <v>200</v>
      </c>
      <c r="V81" s="11">
        <f t="shared" si="24"/>
        <v>240</v>
      </c>
      <c r="W81" s="11">
        <f t="shared" si="25"/>
        <v>720</v>
      </c>
      <c r="X81" s="11">
        <f t="shared" si="26"/>
        <v>230</v>
      </c>
      <c r="Y81" s="11">
        <f t="shared" si="27"/>
        <v>750</v>
      </c>
      <c r="Z81" s="11">
        <f t="shared" si="28"/>
        <v>480</v>
      </c>
      <c r="AA81" s="11">
        <f t="shared" si="29"/>
        <v>0</v>
      </c>
      <c r="AB81" s="11">
        <f t="shared" si="30"/>
        <v>0</v>
      </c>
      <c r="AC81" s="13">
        <f t="shared" si="16"/>
        <v>3370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3">
        <f t="shared" si="17"/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3">
        <f t="shared" si="18"/>
        <v>0</v>
      </c>
    </row>
    <row r="82" spans="1:55">
      <c r="A82" s="4" t="s">
        <v>23</v>
      </c>
      <c r="B82" s="4" t="s">
        <v>182</v>
      </c>
      <c r="C82" s="4" t="s">
        <v>183</v>
      </c>
      <c r="D82" s="6">
        <v>0</v>
      </c>
      <c r="E82" s="6">
        <v>330</v>
      </c>
      <c r="F82" s="6">
        <v>0</v>
      </c>
      <c r="G82" s="6">
        <v>0</v>
      </c>
      <c r="H82" s="6">
        <v>400</v>
      </c>
      <c r="I82" s="6">
        <v>300</v>
      </c>
      <c r="J82" s="6">
        <v>270</v>
      </c>
      <c r="K82" s="6">
        <v>170</v>
      </c>
      <c r="L82" s="6">
        <v>100</v>
      </c>
      <c r="M82" s="6">
        <v>200</v>
      </c>
      <c r="N82" s="6">
        <v>100</v>
      </c>
      <c r="O82" s="6">
        <v>200</v>
      </c>
      <c r="P82" s="9">
        <v>2070</v>
      </c>
      <c r="Q82" s="11">
        <f t="shared" si="19"/>
        <v>0</v>
      </c>
      <c r="R82" s="11">
        <f t="shared" si="20"/>
        <v>330</v>
      </c>
      <c r="S82" s="11">
        <f t="shared" si="21"/>
        <v>0</v>
      </c>
      <c r="T82" s="11">
        <f t="shared" si="22"/>
        <v>0</v>
      </c>
      <c r="U82" s="11">
        <f t="shared" si="23"/>
        <v>400</v>
      </c>
      <c r="V82" s="11">
        <f t="shared" si="24"/>
        <v>300</v>
      </c>
      <c r="W82" s="11">
        <f t="shared" si="25"/>
        <v>270</v>
      </c>
      <c r="X82" s="11">
        <f t="shared" si="26"/>
        <v>170</v>
      </c>
      <c r="Y82" s="11">
        <f t="shared" si="27"/>
        <v>100</v>
      </c>
      <c r="Z82" s="11">
        <f t="shared" si="28"/>
        <v>200</v>
      </c>
      <c r="AA82" s="11">
        <f t="shared" si="29"/>
        <v>100</v>
      </c>
      <c r="AB82" s="11">
        <f t="shared" si="30"/>
        <v>200</v>
      </c>
      <c r="AC82" s="13">
        <f t="shared" si="16"/>
        <v>2070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3">
        <f t="shared" si="17"/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3">
        <f t="shared" si="18"/>
        <v>0</v>
      </c>
    </row>
    <row r="83" spans="1:55">
      <c r="A83" s="4" t="s">
        <v>23</v>
      </c>
      <c r="B83" s="4" t="s">
        <v>184</v>
      </c>
      <c r="C83" s="4" t="s">
        <v>185</v>
      </c>
      <c r="D83" s="6">
        <v>0</v>
      </c>
      <c r="E83" s="6">
        <v>0</v>
      </c>
      <c r="F83" s="6">
        <v>0</v>
      </c>
      <c r="G83" s="6">
        <v>50</v>
      </c>
      <c r="H83" s="6">
        <v>100</v>
      </c>
      <c r="I83" s="6">
        <v>50</v>
      </c>
      <c r="J83" s="6">
        <v>70</v>
      </c>
      <c r="K83" s="6">
        <v>0</v>
      </c>
      <c r="L83" s="6">
        <v>100</v>
      </c>
      <c r="M83" s="6">
        <v>0</v>
      </c>
      <c r="N83" s="6">
        <v>0</v>
      </c>
      <c r="O83" s="6">
        <v>0</v>
      </c>
      <c r="P83" s="9">
        <v>370</v>
      </c>
      <c r="Q83" s="11">
        <f t="shared" si="19"/>
        <v>0</v>
      </c>
      <c r="R83" s="11">
        <f t="shared" si="20"/>
        <v>0</v>
      </c>
      <c r="S83" s="11">
        <f t="shared" si="21"/>
        <v>0</v>
      </c>
      <c r="T83" s="11">
        <f t="shared" si="22"/>
        <v>50</v>
      </c>
      <c r="U83" s="11">
        <f t="shared" si="23"/>
        <v>100</v>
      </c>
      <c r="V83" s="11">
        <f t="shared" si="24"/>
        <v>50</v>
      </c>
      <c r="W83" s="11">
        <f t="shared" si="25"/>
        <v>70</v>
      </c>
      <c r="X83" s="11">
        <f t="shared" si="26"/>
        <v>0</v>
      </c>
      <c r="Y83" s="11">
        <f t="shared" si="27"/>
        <v>100</v>
      </c>
      <c r="Z83" s="11">
        <f t="shared" si="28"/>
        <v>0</v>
      </c>
      <c r="AA83" s="11">
        <f t="shared" si="29"/>
        <v>0</v>
      </c>
      <c r="AB83" s="11">
        <f t="shared" si="30"/>
        <v>0</v>
      </c>
      <c r="AC83" s="13">
        <f t="shared" si="16"/>
        <v>370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3">
        <f t="shared" si="17"/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3">
        <f t="shared" si="18"/>
        <v>0</v>
      </c>
    </row>
    <row r="84" spans="1:55">
      <c r="A84" s="4" t="s">
        <v>23</v>
      </c>
      <c r="B84" s="4" t="s">
        <v>186</v>
      </c>
      <c r="C84" s="4" t="s">
        <v>187</v>
      </c>
      <c r="D84" s="6">
        <v>610</v>
      </c>
      <c r="E84" s="6">
        <v>200</v>
      </c>
      <c r="F84" s="6">
        <v>690</v>
      </c>
      <c r="G84" s="6">
        <v>0</v>
      </c>
      <c r="H84" s="6">
        <v>710</v>
      </c>
      <c r="I84" s="6">
        <v>490</v>
      </c>
      <c r="J84" s="6">
        <v>700</v>
      </c>
      <c r="K84" s="6">
        <v>0</v>
      </c>
      <c r="L84" s="6">
        <v>900</v>
      </c>
      <c r="M84" s="6">
        <v>700</v>
      </c>
      <c r="N84" s="6">
        <v>0</v>
      </c>
      <c r="O84" s="6">
        <v>0</v>
      </c>
      <c r="P84" s="9">
        <v>5000</v>
      </c>
      <c r="Q84" s="11">
        <f t="shared" si="19"/>
        <v>610</v>
      </c>
      <c r="R84" s="11">
        <f t="shared" si="20"/>
        <v>200</v>
      </c>
      <c r="S84" s="11">
        <f t="shared" si="21"/>
        <v>690</v>
      </c>
      <c r="T84" s="11">
        <f t="shared" si="22"/>
        <v>0</v>
      </c>
      <c r="U84" s="11">
        <f t="shared" si="23"/>
        <v>710</v>
      </c>
      <c r="V84" s="11">
        <f t="shared" si="24"/>
        <v>490</v>
      </c>
      <c r="W84" s="11">
        <f t="shared" si="25"/>
        <v>700</v>
      </c>
      <c r="X84" s="11">
        <f t="shared" si="26"/>
        <v>0</v>
      </c>
      <c r="Y84" s="11">
        <f t="shared" si="27"/>
        <v>900</v>
      </c>
      <c r="Z84" s="11">
        <f t="shared" si="28"/>
        <v>700</v>
      </c>
      <c r="AA84" s="11">
        <f t="shared" si="29"/>
        <v>0</v>
      </c>
      <c r="AB84" s="11">
        <f t="shared" si="30"/>
        <v>0</v>
      </c>
      <c r="AC84" s="13">
        <f t="shared" si="16"/>
        <v>5000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3">
        <f t="shared" si="17"/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3">
        <f t="shared" si="18"/>
        <v>0</v>
      </c>
    </row>
    <row r="85" spans="1:55">
      <c r="A85" s="4" t="s">
        <v>23</v>
      </c>
      <c r="B85" s="4" t="s">
        <v>188</v>
      </c>
      <c r="C85" s="4" t="s">
        <v>189</v>
      </c>
      <c r="D85" s="6">
        <v>1530</v>
      </c>
      <c r="E85" s="6">
        <v>610</v>
      </c>
      <c r="F85" s="6">
        <v>1330</v>
      </c>
      <c r="G85" s="6">
        <v>620</v>
      </c>
      <c r="H85" s="6">
        <v>720</v>
      </c>
      <c r="I85" s="6">
        <v>290</v>
      </c>
      <c r="J85" s="6">
        <v>1100</v>
      </c>
      <c r="K85" s="6">
        <v>0</v>
      </c>
      <c r="L85" s="6">
        <v>950</v>
      </c>
      <c r="M85" s="6">
        <v>1500</v>
      </c>
      <c r="N85" s="6">
        <v>0</v>
      </c>
      <c r="O85" s="6">
        <v>0</v>
      </c>
      <c r="P85" s="9">
        <v>8650</v>
      </c>
      <c r="Q85" s="11">
        <f t="shared" si="19"/>
        <v>1530</v>
      </c>
      <c r="R85" s="11">
        <f t="shared" si="20"/>
        <v>610</v>
      </c>
      <c r="S85" s="11">
        <f t="shared" si="21"/>
        <v>1330</v>
      </c>
      <c r="T85" s="11">
        <f t="shared" si="22"/>
        <v>620</v>
      </c>
      <c r="U85" s="11">
        <f t="shared" si="23"/>
        <v>720</v>
      </c>
      <c r="V85" s="11">
        <f t="shared" si="24"/>
        <v>290</v>
      </c>
      <c r="W85" s="11">
        <f t="shared" si="25"/>
        <v>1100</v>
      </c>
      <c r="X85" s="11">
        <f t="shared" si="26"/>
        <v>0</v>
      </c>
      <c r="Y85" s="11">
        <f t="shared" si="27"/>
        <v>950</v>
      </c>
      <c r="Z85" s="11">
        <f t="shared" si="28"/>
        <v>1500</v>
      </c>
      <c r="AA85" s="11">
        <f t="shared" si="29"/>
        <v>0</v>
      </c>
      <c r="AB85" s="11">
        <f t="shared" si="30"/>
        <v>0</v>
      </c>
      <c r="AC85" s="13">
        <f t="shared" si="16"/>
        <v>8650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3">
        <f t="shared" si="17"/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3">
        <f t="shared" si="18"/>
        <v>0</v>
      </c>
    </row>
    <row r="86" spans="1:55">
      <c r="A86" s="4" t="s">
        <v>23</v>
      </c>
      <c r="B86" s="4" t="s">
        <v>190</v>
      </c>
      <c r="C86" s="4" t="s">
        <v>191</v>
      </c>
      <c r="D86" s="6">
        <v>0</v>
      </c>
      <c r="E86" s="6">
        <v>0</v>
      </c>
      <c r="F86" s="6">
        <v>490</v>
      </c>
      <c r="G86" s="6">
        <v>0</v>
      </c>
      <c r="H86" s="6">
        <v>0</v>
      </c>
      <c r="I86" s="6">
        <v>0</v>
      </c>
      <c r="J86" s="6">
        <v>50</v>
      </c>
      <c r="K86" s="6">
        <v>0</v>
      </c>
      <c r="L86" s="6">
        <v>250</v>
      </c>
      <c r="M86" s="6">
        <v>0</v>
      </c>
      <c r="N86" s="6">
        <v>0</v>
      </c>
      <c r="O86" s="6">
        <v>0</v>
      </c>
      <c r="P86" s="9">
        <v>790</v>
      </c>
      <c r="Q86" s="11">
        <f t="shared" si="19"/>
        <v>0</v>
      </c>
      <c r="R86" s="11">
        <f t="shared" si="20"/>
        <v>0</v>
      </c>
      <c r="S86" s="11">
        <f t="shared" si="21"/>
        <v>490</v>
      </c>
      <c r="T86" s="11">
        <f t="shared" si="22"/>
        <v>0</v>
      </c>
      <c r="U86" s="11">
        <f t="shared" si="23"/>
        <v>0</v>
      </c>
      <c r="V86" s="11">
        <f t="shared" si="24"/>
        <v>0</v>
      </c>
      <c r="W86" s="11">
        <f t="shared" si="25"/>
        <v>50</v>
      </c>
      <c r="X86" s="11">
        <f t="shared" si="26"/>
        <v>0</v>
      </c>
      <c r="Y86" s="11">
        <f t="shared" si="27"/>
        <v>250</v>
      </c>
      <c r="Z86" s="11">
        <f t="shared" si="28"/>
        <v>0</v>
      </c>
      <c r="AA86" s="11">
        <f t="shared" si="29"/>
        <v>0</v>
      </c>
      <c r="AB86" s="11">
        <f t="shared" si="30"/>
        <v>0</v>
      </c>
      <c r="AC86" s="13">
        <f t="shared" si="16"/>
        <v>790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3">
        <f t="shared" si="17"/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3">
        <f t="shared" si="18"/>
        <v>0</v>
      </c>
    </row>
    <row r="87" spans="1:55">
      <c r="A87" s="4" t="s">
        <v>23</v>
      </c>
      <c r="B87" s="4" t="s">
        <v>192</v>
      </c>
      <c r="C87" s="4" t="s">
        <v>193</v>
      </c>
      <c r="D87" s="6">
        <v>2880</v>
      </c>
      <c r="E87" s="6">
        <v>850</v>
      </c>
      <c r="F87" s="6">
        <v>1970</v>
      </c>
      <c r="G87" s="6">
        <v>1890</v>
      </c>
      <c r="H87" s="6">
        <v>2230</v>
      </c>
      <c r="I87" s="6">
        <v>1690</v>
      </c>
      <c r="J87" s="6">
        <v>2150</v>
      </c>
      <c r="K87" s="6">
        <v>2910</v>
      </c>
      <c r="L87" s="6">
        <v>3250</v>
      </c>
      <c r="M87" s="6">
        <v>2550</v>
      </c>
      <c r="N87" s="6">
        <v>2850</v>
      </c>
      <c r="O87" s="6">
        <v>2500</v>
      </c>
      <c r="P87" s="9">
        <v>27720</v>
      </c>
      <c r="Q87" s="11">
        <f t="shared" si="19"/>
        <v>2880</v>
      </c>
      <c r="R87" s="11">
        <f t="shared" si="20"/>
        <v>850</v>
      </c>
      <c r="S87" s="11">
        <f t="shared" si="21"/>
        <v>1970</v>
      </c>
      <c r="T87" s="11">
        <f t="shared" si="22"/>
        <v>1890</v>
      </c>
      <c r="U87" s="11">
        <f t="shared" si="23"/>
        <v>2230</v>
      </c>
      <c r="V87" s="11">
        <f t="shared" si="24"/>
        <v>1690</v>
      </c>
      <c r="W87" s="11">
        <f t="shared" si="25"/>
        <v>2150</v>
      </c>
      <c r="X87" s="11">
        <f t="shared" si="26"/>
        <v>2910</v>
      </c>
      <c r="Y87" s="11">
        <f t="shared" si="27"/>
        <v>3250</v>
      </c>
      <c r="Z87" s="11">
        <f t="shared" si="28"/>
        <v>2550</v>
      </c>
      <c r="AA87" s="11">
        <f t="shared" si="29"/>
        <v>2850</v>
      </c>
      <c r="AB87" s="11">
        <f t="shared" si="30"/>
        <v>2500</v>
      </c>
      <c r="AC87" s="13">
        <f t="shared" si="16"/>
        <v>27720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3">
        <f t="shared" si="17"/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3">
        <f t="shared" si="18"/>
        <v>0</v>
      </c>
    </row>
    <row r="88" spans="1:55">
      <c r="A88" s="4" t="s">
        <v>23</v>
      </c>
      <c r="B88" s="4" t="s">
        <v>194</v>
      </c>
      <c r="C88" s="4" t="s">
        <v>195</v>
      </c>
      <c r="D88" s="6">
        <v>3450</v>
      </c>
      <c r="E88" s="6">
        <v>2210</v>
      </c>
      <c r="F88" s="6">
        <v>2960</v>
      </c>
      <c r="G88" s="6">
        <v>1170</v>
      </c>
      <c r="H88" s="6">
        <v>2690</v>
      </c>
      <c r="I88" s="6">
        <v>950</v>
      </c>
      <c r="J88" s="6">
        <v>2460</v>
      </c>
      <c r="K88" s="6">
        <v>2700</v>
      </c>
      <c r="L88" s="6">
        <v>3500</v>
      </c>
      <c r="M88" s="6">
        <v>2200</v>
      </c>
      <c r="N88" s="6">
        <v>2500</v>
      </c>
      <c r="O88" s="6">
        <v>2200</v>
      </c>
      <c r="P88" s="9">
        <v>28990</v>
      </c>
      <c r="Q88" s="11">
        <f t="shared" si="19"/>
        <v>3450</v>
      </c>
      <c r="R88" s="11">
        <f t="shared" si="20"/>
        <v>2210</v>
      </c>
      <c r="S88" s="11">
        <f t="shared" si="21"/>
        <v>2960</v>
      </c>
      <c r="T88" s="11">
        <f t="shared" si="22"/>
        <v>1170</v>
      </c>
      <c r="U88" s="11">
        <f t="shared" si="23"/>
        <v>2690</v>
      </c>
      <c r="V88" s="11">
        <f t="shared" si="24"/>
        <v>950</v>
      </c>
      <c r="W88" s="11">
        <f t="shared" si="25"/>
        <v>2460</v>
      </c>
      <c r="X88" s="11">
        <f t="shared" si="26"/>
        <v>2700</v>
      </c>
      <c r="Y88" s="11">
        <f t="shared" si="27"/>
        <v>3500</v>
      </c>
      <c r="Z88" s="11">
        <f t="shared" si="28"/>
        <v>2200</v>
      </c>
      <c r="AA88" s="11">
        <f t="shared" si="29"/>
        <v>2500</v>
      </c>
      <c r="AB88" s="11">
        <f t="shared" si="30"/>
        <v>2200</v>
      </c>
      <c r="AC88" s="13">
        <f t="shared" si="16"/>
        <v>28990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3">
        <f t="shared" si="17"/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3">
        <f t="shared" si="18"/>
        <v>0</v>
      </c>
    </row>
    <row r="89" spans="1:55">
      <c r="A89" s="4" t="s">
        <v>23</v>
      </c>
      <c r="B89" s="4" t="s">
        <v>196</v>
      </c>
      <c r="C89" s="4" t="s">
        <v>197</v>
      </c>
      <c r="D89" s="6">
        <v>0</v>
      </c>
      <c r="E89" s="6">
        <v>0</v>
      </c>
      <c r="F89" s="6">
        <v>0</v>
      </c>
      <c r="G89" s="6">
        <v>320</v>
      </c>
      <c r="H89" s="6">
        <v>0</v>
      </c>
      <c r="I89" s="6">
        <v>320</v>
      </c>
      <c r="J89" s="6">
        <v>0</v>
      </c>
      <c r="K89" s="6">
        <v>110</v>
      </c>
      <c r="L89" s="6">
        <v>300</v>
      </c>
      <c r="M89" s="6">
        <v>350</v>
      </c>
      <c r="N89" s="6">
        <v>400</v>
      </c>
      <c r="O89" s="6">
        <v>200</v>
      </c>
      <c r="P89" s="9">
        <v>2000</v>
      </c>
      <c r="Q89" s="11">
        <f t="shared" si="19"/>
        <v>0</v>
      </c>
      <c r="R89" s="11">
        <f t="shared" si="20"/>
        <v>0</v>
      </c>
      <c r="S89" s="11">
        <f t="shared" si="21"/>
        <v>0</v>
      </c>
      <c r="T89" s="11">
        <f t="shared" si="22"/>
        <v>320</v>
      </c>
      <c r="U89" s="11">
        <f t="shared" si="23"/>
        <v>0</v>
      </c>
      <c r="V89" s="11">
        <f t="shared" si="24"/>
        <v>320</v>
      </c>
      <c r="W89" s="11">
        <f t="shared" si="25"/>
        <v>0</v>
      </c>
      <c r="X89" s="11">
        <f t="shared" si="26"/>
        <v>110</v>
      </c>
      <c r="Y89" s="11">
        <f t="shared" si="27"/>
        <v>300</v>
      </c>
      <c r="Z89" s="11">
        <f t="shared" si="28"/>
        <v>350</v>
      </c>
      <c r="AA89" s="11">
        <f t="shared" si="29"/>
        <v>400</v>
      </c>
      <c r="AB89" s="11">
        <f t="shared" si="30"/>
        <v>200</v>
      </c>
      <c r="AC89" s="13">
        <f t="shared" si="16"/>
        <v>2000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3">
        <f t="shared" si="17"/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3">
        <f t="shared" si="18"/>
        <v>0</v>
      </c>
    </row>
    <row r="90" spans="1:55">
      <c r="A90" s="4" t="s">
        <v>23</v>
      </c>
      <c r="B90" s="4" t="s">
        <v>198</v>
      </c>
      <c r="C90" s="4" t="s">
        <v>187</v>
      </c>
      <c r="D90" s="6">
        <v>0</v>
      </c>
      <c r="E90" s="6">
        <v>540</v>
      </c>
      <c r="F90" s="6">
        <v>0</v>
      </c>
      <c r="G90" s="6">
        <v>0</v>
      </c>
      <c r="H90" s="6">
        <v>0</v>
      </c>
      <c r="I90" s="6">
        <v>230</v>
      </c>
      <c r="J90" s="6">
        <v>350</v>
      </c>
      <c r="K90" s="6">
        <v>0</v>
      </c>
      <c r="L90" s="6">
        <v>450</v>
      </c>
      <c r="M90" s="6">
        <v>330</v>
      </c>
      <c r="N90" s="6">
        <v>0</v>
      </c>
      <c r="O90" s="6">
        <v>0</v>
      </c>
      <c r="P90" s="9">
        <v>1900</v>
      </c>
      <c r="Q90" s="11">
        <f t="shared" si="19"/>
        <v>0</v>
      </c>
      <c r="R90" s="11">
        <f t="shared" si="20"/>
        <v>540</v>
      </c>
      <c r="S90" s="11">
        <f t="shared" si="21"/>
        <v>0</v>
      </c>
      <c r="T90" s="11">
        <f t="shared" si="22"/>
        <v>0</v>
      </c>
      <c r="U90" s="11">
        <f t="shared" si="23"/>
        <v>0</v>
      </c>
      <c r="V90" s="11">
        <f t="shared" si="24"/>
        <v>230</v>
      </c>
      <c r="W90" s="11">
        <f t="shared" si="25"/>
        <v>350</v>
      </c>
      <c r="X90" s="11">
        <f t="shared" si="26"/>
        <v>0</v>
      </c>
      <c r="Y90" s="11">
        <f t="shared" si="27"/>
        <v>450</v>
      </c>
      <c r="Z90" s="11">
        <f t="shared" si="28"/>
        <v>330</v>
      </c>
      <c r="AA90" s="11">
        <f t="shared" si="29"/>
        <v>0</v>
      </c>
      <c r="AB90" s="11">
        <f t="shared" si="30"/>
        <v>0</v>
      </c>
      <c r="AC90" s="13">
        <f t="shared" si="16"/>
        <v>1900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3">
        <f t="shared" si="17"/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3">
        <f t="shared" si="18"/>
        <v>0</v>
      </c>
    </row>
    <row r="91" spans="1:55">
      <c r="A91" s="4" t="s">
        <v>23</v>
      </c>
      <c r="B91" s="4" t="s">
        <v>199</v>
      </c>
      <c r="C91" s="4" t="s">
        <v>193</v>
      </c>
      <c r="D91" s="6">
        <v>0</v>
      </c>
      <c r="E91" s="6">
        <v>490</v>
      </c>
      <c r="F91" s="6">
        <v>0</v>
      </c>
      <c r="G91" s="6">
        <v>10</v>
      </c>
      <c r="H91" s="6">
        <v>600</v>
      </c>
      <c r="I91" s="6">
        <v>200</v>
      </c>
      <c r="J91" s="6">
        <v>100</v>
      </c>
      <c r="K91" s="6">
        <v>350</v>
      </c>
      <c r="L91" s="6">
        <v>150</v>
      </c>
      <c r="M91" s="6">
        <v>400</v>
      </c>
      <c r="N91" s="6">
        <v>150</v>
      </c>
      <c r="O91" s="6">
        <v>300</v>
      </c>
      <c r="P91" s="9">
        <v>2750</v>
      </c>
      <c r="Q91" s="11">
        <f t="shared" si="19"/>
        <v>0</v>
      </c>
      <c r="R91" s="11">
        <f t="shared" si="20"/>
        <v>490</v>
      </c>
      <c r="S91" s="11">
        <f t="shared" si="21"/>
        <v>0</v>
      </c>
      <c r="T91" s="11">
        <f t="shared" si="22"/>
        <v>10</v>
      </c>
      <c r="U91" s="11">
        <f t="shared" si="23"/>
        <v>600</v>
      </c>
      <c r="V91" s="11">
        <f t="shared" si="24"/>
        <v>200</v>
      </c>
      <c r="W91" s="11">
        <f t="shared" si="25"/>
        <v>100</v>
      </c>
      <c r="X91" s="11">
        <f t="shared" si="26"/>
        <v>350</v>
      </c>
      <c r="Y91" s="11">
        <f t="shared" si="27"/>
        <v>150</v>
      </c>
      <c r="Z91" s="11">
        <f t="shared" si="28"/>
        <v>400</v>
      </c>
      <c r="AA91" s="11">
        <f t="shared" si="29"/>
        <v>150</v>
      </c>
      <c r="AB91" s="11">
        <f t="shared" si="30"/>
        <v>300</v>
      </c>
      <c r="AC91" s="13">
        <f t="shared" si="16"/>
        <v>2750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3">
        <f t="shared" si="17"/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3">
        <f t="shared" si="18"/>
        <v>0</v>
      </c>
    </row>
    <row r="92" spans="1:55">
      <c r="A92" s="4" t="s">
        <v>23</v>
      </c>
      <c r="B92" s="4" t="s">
        <v>200</v>
      </c>
      <c r="C92" s="4" t="s">
        <v>201</v>
      </c>
      <c r="D92" s="6">
        <v>0</v>
      </c>
      <c r="E92" s="6">
        <v>0</v>
      </c>
      <c r="F92" s="6">
        <v>0</v>
      </c>
      <c r="G92" s="6">
        <v>0</v>
      </c>
      <c r="H92" s="6">
        <v>450</v>
      </c>
      <c r="I92" s="6">
        <v>100</v>
      </c>
      <c r="J92" s="6">
        <v>0</v>
      </c>
      <c r="K92" s="6">
        <v>100</v>
      </c>
      <c r="L92" s="6">
        <v>0</v>
      </c>
      <c r="M92" s="6">
        <v>100</v>
      </c>
      <c r="N92" s="6">
        <v>0</v>
      </c>
      <c r="O92" s="6">
        <v>1000</v>
      </c>
      <c r="P92" s="9">
        <v>1750</v>
      </c>
      <c r="Q92" s="11">
        <f t="shared" si="19"/>
        <v>0</v>
      </c>
      <c r="R92" s="11">
        <f t="shared" si="20"/>
        <v>0</v>
      </c>
      <c r="S92" s="11">
        <f t="shared" si="21"/>
        <v>0</v>
      </c>
      <c r="T92" s="11">
        <f t="shared" si="22"/>
        <v>0</v>
      </c>
      <c r="U92" s="11">
        <f t="shared" si="23"/>
        <v>450</v>
      </c>
      <c r="V92" s="11">
        <f t="shared" si="24"/>
        <v>100</v>
      </c>
      <c r="W92" s="11">
        <f t="shared" si="25"/>
        <v>0</v>
      </c>
      <c r="X92" s="11">
        <f t="shared" si="26"/>
        <v>100</v>
      </c>
      <c r="Y92" s="11">
        <f t="shared" si="27"/>
        <v>0</v>
      </c>
      <c r="Z92" s="11">
        <f t="shared" si="28"/>
        <v>100</v>
      </c>
      <c r="AA92" s="11">
        <f t="shared" si="29"/>
        <v>0</v>
      </c>
      <c r="AB92" s="11">
        <f t="shared" si="30"/>
        <v>1000</v>
      </c>
      <c r="AC92" s="13">
        <f t="shared" si="16"/>
        <v>1750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3">
        <f t="shared" si="17"/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3">
        <f t="shared" si="18"/>
        <v>0</v>
      </c>
    </row>
    <row r="93" spans="1:55">
      <c r="A93" s="4" t="s">
        <v>23</v>
      </c>
      <c r="B93" s="4" t="s">
        <v>202</v>
      </c>
      <c r="C93" s="4" t="s">
        <v>203</v>
      </c>
      <c r="D93" s="6">
        <v>0</v>
      </c>
      <c r="E93" s="6">
        <v>0</v>
      </c>
      <c r="F93" s="6">
        <v>0</v>
      </c>
      <c r="G93" s="6">
        <v>0</v>
      </c>
      <c r="H93" s="6">
        <v>610</v>
      </c>
      <c r="I93" s="6">
        <v>150</v>
      </c>
      <c r="J93" s="6">
        <v>0</v>
      </c>
      <c r="K93" s="6">
        <v>140</v>
      </c>
      <c r="L93" s="6">
        <v>0</v>
      </c>
      <c r="M93" s="6">
        <v>450</v>
      </c>
      <c r="N93" s="6">
        <v>0</v>
      </c>
      <c r="O93" s="6">
        <v>1100</v>
      </c>
      <c r="P93" s="9">
        <v>2450</v>
      </c>
      <c r="Q93" s="11">
        <f t="shared" si="19"/>
        <v>0</v>
      </c>
      <c r="R93" s="11">
        <f t="shared" si="20"/>
        <v>0</v>
      </c>
      <c r="S93" s="11">
        <f t="shared" si="21"/>
        <v>0</v>
      </c>
      <c r="T93" s="11">
        <f t="shared" si="22"/>
        <v>0</v>
      </c>
      <c r="U93" s="11">
        <f t="shared" si="23"/>
        <v>610</v>
      </c>
      <c r="V93" s="11">
        <f t="shared" si="24"/>
        <v>150</v>
      </c>
      <c r="W93" s="11">
        <f t="shared" si="25"/>
        <v>0</v>
      </c>
      <c r="X93" s="11">
        <f t="shared" si="26"/>
        <v>140</v>
      </c>
      <c r="Y93" s="11">
        <f t="shared" si="27"/>
        <v>0</v>
      </c>
      <c r="Z93" s="11">
        <f t="shared" si="28"/>
        <v>450</v>
      </c>
      <c r="AA93" s="11">
        <f t="shared" si="29"/>
        <v>0</v>
      </c>
      <c r="AB93" s="11">
        <f t="shared" si="30"/>
        <v>1100</v>
      </c>
      <c r="AC93" s="13">
        <f t="shared" si="16"/>
        <v>2450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3">
        <f t="shared" si="17"/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3">
        <f t="shared" si="18"/>
        <v>0</v>
      </c>
    </row>
    <row r="94" spans="1:55">
      <c r="A94" s="4" t="s">
        <v>23</v>
      </c>
      <c r="B94" s="4" t="s">
        <v>204</v>
      </c>
      <c r="C94" s="4" t="s">
        <v>205</v>
      </c>
      <c r="D94" s="6">
        <v>150</v>
      </c>
      <c r="E94" s="6">
        <v>0</v>
      </c>
      <c r="F94" s="6">
        <v>300</v>
      </c>
      <c r="G94" s="6">
        <v>0</v>
      </c>
      <c r="H94" s="6">
        <v>180</v>
      </c>
      <c r="I94" s="6">
        <v>140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9">
        <v>770</v>
      </c>
      <c r="Q94" s="11">
        <f t="shared" si="19"/>
        <v>150</v>
      </c>
      <c r="R94" s="11">
        <f t="shared" si="20"/>
        <v>0</v>
      </c>
      <c r="S94" s="11">
        <f t="shared" si="21"/>
        <v>300</v>
      </c>
      <c r="T94" s="11">
        <f t="shared" si="22"/>
        <v>0</v>
      </c>
      <c r="U94" s="11">
        <f t="shared" si="23"/>
        <v>180</v>
      </c>
      <c r="V94" s="11">
        <f t="shared" si="24"/>
        <v>140</v>
      </c>
      <c r="W94" s="11">
        <f t="shared" si="25"/>
        <v>0</v>
      </c>
      <c r="X94" s="11">
        <f t="shared" si="26"/>
        <v>0</v>
      </c>
      <c r="Y94" s="11">
        <f t="shared" si="27"/>
        <v>0</v>
      </c>
      <c r="Z94" s="11">
        <f t="shared" si="28"/>
        <v>0</v>
      </c>
      <c r="AA94" s="11">
        <f t="shared" si="29"/>
        <v>0</v>
      </c>
      <c r="AB94" s="11">
        <f t="shared" si="30"/>
        <v>0</v>
      </c>
      <c r="AC94" s="13">
        <f t="shared" si="16"/>
        <v>770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3">
        <f t="shared" si="17"/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3">
        <f t="shared" si="18"/>
        <v>0</v>
      </c>
    </row>
    <row r="95" spans="1:55">
      <c r="A95" s="4" t="s">
        <v>23</v>
      </c>
      <c r="B95" s="4" t="s">
        <v>206</v>
      </c>
      <c r="C95" s="4" t="s">
        <v>207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300</v>
      </c>
      <c r="K95" s="6">
        <v>0</v>
      </c>
      <c r="L95" s="6">
        <v>0</v>
      </c>
      <c r="M95" s="6">
        <v>200</v>
      </c>
      <c r="N95" s="6">
        <v>0</v>
      </c>
      <c r="O95" s="6">
        <v>0</v>
      </c>
      <c r="P95" s="9">
        <v>500</v>
      </c>
      <c r="Q95" s="11">
        <f t="shared" si="19"/>
        <v>0</v>
      </c>
      <c r="R95" s="11">
        <f t="shared" si="20"/>
        <v>0</v>
      </c>
      <c r="S95" s="11">
        <f t="shared" si="21"/>
        <v>0</v>
      </c>
      <c r="T95" s="11">
        <f t="shared" si="22"/>
        <v>0</v>
      </c>
      <c r="U95" s="11">
        <f t="shared" si="23"/>
        <v>0</v>
      </c>
      <c r="V95" s="11">
        <f t="shared" si="24"/>
        <v>0</v>
      </c>
      <c r="W95" s="11">
        <f t="shared" si="25"/>
        <v>300</v>
      </c>
      <c r="X95" s="11">
        <f t="shared" si="26"/>
        <v>0</v>
      </c>
      <c r="Y95" s="11">
        <f t="shared" si="27"/>
        <v>0</v>
      </c>
      <c r="Z95" s="11">
        <f t="shared" si="28"/>
        <v>200</v>
      </c>
      <c r="AA95" s="11">
        <f t="shared" si="29"/>
        <v>0</v>
      </c>
      <c r="AB95" s="11">
        <f t="shared" si="30"/>
        <v>0</v>
      </c>
      <c r="AC95" s="13">
        <f t="shared" si="16"/>
        <v>500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3">
        <f t="shared" si="17"/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3">
        <f t="shared" si="18"/>
        <v>0</v>
      </c>
    </row>
    <row r="96" spans="1:55">
      <c r="A96" s="4" t="s">
        <v>23</v>
      </c>
      <c r="B96" s="4" t="s">
        <v>208</v>
      </c>
      <c r="C96" s="4" t="s">
        <v>209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250</v>
      </c>
      <c r="K96" s="6">
        <v>0</v>
      </c>
      <c r="L96" s="6">
        <v>0</v>
      </c>
      <c r="M96" s="6">
        <v>300</v>
      </c>
      <c r="N96" s="6">
        <v>0</v>
      </c>
      <c r="O96" s="6">
        <v>0</v>
      </c>
      <c r="P96" s="9">
        <v>550</v>
      </c>
      <c r="Q96" s="11">
        <f t="shared" si="19"/>
        <v>0</v>
      </c>
      <c r="R96" s="11">
        <f t="shared" si="20"/>
        <v>0</v>
      </c>
      <c r="S96" s="11">
        <f t="shared" si="21"/>
        <v>0</v>
      </c>
      <c r="T96" s="11">
        <f t="shared" si="22"/>
        <v>0</v>
      </c>
      <c r="U96" s="11">
        <f t="shared" si="23"/>
        <v>0</v>
      </c>
      <c r="V96" s="11">
        <f t="shared" si="24"/>
        <v>0</v>
      </c>
      <c r="W96" s="11">
        <f t="shared" si="25"/>
        <v>250</v>
      </c>
      <c r="X96" s="11">
        <f t="shared" si="26"/>
        <v>0</v>
      </c>
      <c r="Y96" s="11">
        <f t="shared" si="27"/>
        <v>0</v>
      </c>
      <c r="Z96" s="11">
        <f t="shared" si="28"/>
        <v>300</v>
      </c>
      <c r="AA96" s="11">
        <f t="shared" si="29"/>
        <v>0</v>
      </c>
      <c r="AB96" s="11">
        <f t="shared" si="30"/>
        <v>0</v>
      </c>
      <c r="AC96" s="13">
        <f t="shared" si="16"/>
        <v>550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3">
        <f t="shared" si="17"/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3">
        <f t="shared" si="18"/>
        <v>0</v>
      </c>
    </row>
    <row r="97" spans="1:55">
      <c r="A97" s="4" t="s">
        <v>23</v>
      </c>
      <c r="B97" s="4" t="s">
        <v>210</v>
      </c>
      <c r="C97" s="4" t="s">
        <v>211</v>
      </c>
      <c r="D97" s="6">
        <v>420</v>
      </c>
      <c r="E97" s="6">
        <v>170</v>
      </c>
      <c r="F97" s="6">
        <v>480</v>
      </c>
      <c r="G97" s="6">
        <v>130</v>
      </c>
      <c r="H97" s="6">
        <v>190</v>
      </c>
      <c r="I97" s="6">
        <v>0</v>
      </c>
      <c r="J97" s="6">
        <v>0</v>
      </c>
      <c r="K97" s="6">
        <v>320</v>
      </c>
      <c r="L97" s="6">
        <v>0</v>
      </c>
      <c r="M97" s="6">
        <v>300</v>
      </c>
      <c r="N97" s="6">
        <v>0</v>
      </c>
      <c r="O97" s="6">
        <v>0</v>
      </c>
      <c r="P97" s="9">
        <v>2010</v>
      </c>
      <c r="Q97" s="11">
        <f t="shared" si="19"/>
        <v>420</v>
      </c>
      <c r="R97" s="11">
        <f t="shared" si="20"/>
        <v>170</v>
      </c>
      <c r="S97" s="11">
        <f t="shared" si="21"/>
        <v>480</v>
      </c>
      <c r="T97" s="11">
        <f t="shared" si="22"/>
        <v>130</v>
      </c>
      <c r="U97" s="11">
        <f t="shared" si="23"/>
        <v>190</v>
      </c>
      <c r="V97" s="11">
        <f t="shared" si="24"/>
        <v>0</v>
      </c>
      <c r="W97" s="11">
        <f t="shared" si="25"/>
        <v>0</v>
      </c>
      <c r="X97" s="11">
        <f t="shared" si="26"/>
        <v>320</v>
      </c>
      <c r="Y97" s="11">
        <f t="shared" si="27"/>
        <v>0</v>
      </c>
      <c r="Z97" s="11">
        <f t="shared" si="28"/>
        <v>300</v>
      </c>
      <c r="AA97" s="11">
        <f t="shared" si="29"/>
        <v>0</v>
      </c>
      <c r="AB97" s="11">
        <f t="shared" si="30"/>
        <v>0</v>
      </c>
      <c r="AC97" s="13">
        <f t="shared" si="16"/>
        <v>2010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3">
        <f t="shared" si="17"/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3">
        <f t="shared" si="18"/>
        <v>0</v>
      </c>
    </row>
    <row r="98" spans="1:55">
      <c r="A98" s="4" t="s">
        <v>23</v>
      </c>
      <c r="B98" s="4" t="s">
        <v>212</v>
      </c>
      <c r="C98" s="4" t="s">
        <v>213</v>
      </c>
      <c r="D98" s="6">
        <v>1270</v>
      </c>
      <c r="E98" s="6">
        <v>1870</v>
      </c>
      <c r="F98" s="6">
        <v>1870</v>
      </c>
      <c r="G98" s="6">
        <v>2940</v>
      </c>
      <c r="H98" s="6">
        <v>790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9">
        <v>8740</v>
      </c>
      <c r="Q98" s="11">
        <f t="shared" si="19"/>
        <v>1270</v>
      </c>
      <c r="R98" s="11">
        <f t="shared" si="20"/>
        <v>1870</v>
      </c>
      <c r="S98" s="11">
        <f t="shared" si="21"/>
        <v>1870</v>
      </c>
      <c r="T98" s="11">
        <f t="shared" si="22"/>
        <v>2940</v>
      </c>
      <c r="U98" s="11">
        <f t="shared" si="23"/>
        <v>790</v>
      </c>
      <c r="V98" s="11">
        <f t="shared" si="24"/>
        <v>0</v>
      </c>
      <c r="W98" s="11">
        <f t="shared" si="25"/>
        <v>0</v>
      </c>
      <c r="X98" s="11">
        <f t="shared" si="26"/>
        <v>0</v>
      </c>
      <c r="Y98" s="11">
        <f t="shared" si="27"/>
        <v>0</v>
      </c>
      <c r="Z98" s="11">
        <f t="shared" si="28"/>
        <v>0</v>
      </c>
      <c r="AA98" s="11">
        <f t="shared" si="29"/>
        <v>0</v>
      </c>
      <c r="AB98" s="11">
        <f t="shared" si="30"/>
        <v>0</v>
      </c>
      <c r="AC98" s="13">
        <f t="shared" si="16"/>
        <v>8740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3">
        <f t="shared" si="17"/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3">
        <f t="shared" si="18"/>
        <v>0</v>
      </c>
    </row>
    <row r="99" spans="1:55">
      <c r="A99" s="4" t="s">
        <v>23</v>
      </c>
      <c r="B99" s="4" t="s">
        <v>214</v>
      </c>
      <c r="C99" s="4" t="s">
        <v>215</v>
      </c>
      <c r="D99" s="6">
        <v>0</v>
      </c>
      <c r="E99" s="6">
        <v>130</v>
      </c>
      <c r="F99" s="6">
        <v>0</v>
      </c>
      <c r="G99" s="6">
        <v>120</v>
      </c>
      <c r="H99" s="6">
        <v>480</v>
      </c>
      <c r="I99" s="6">
        <v>320</v>
      </c>
      <c r="J99" s="6">
        <v>0</v>
      </c>
      <c r="K99" s="6">
        <v>0</v>
      </c>
      <c r="L99" s="6">
        <v>0</v>
      </c>
      <c r="M99" s="6">
        <v>650</v>
      </c>
      <c r="N99" s="6">
        <v>300</v>
      </c>
      <c r="O99" s="6">
        <v>200</v>
      </c>
      <c r="P99" s="9">
        <v>2200</v>
      </c>
      <c r="Q99" s="11">
        <f t="shared" si="19"/>
        <v>0</v>
      </c>
      <c r="R99" s="11">
        <f t="shared" si="20"/>
        <v>130</v>
      </c>
      <c r="S99" s="11">
        <f t="shared" si="21"/>
        <v>0</v>
      </c>
      <c r="T99" s="11">
        <f t="shared" si="22"/>
        <v>120</v>
      </c>
      <c r="U99" s="11">
        <f t="shared" si="23"/>
        <v>480</v>
      </c>
      <c r="V99" s="11">
        <f t="shared" si="24"/>
        <v>320</v>
      </c>
      <c r="W99" s="11">
        <f t="shared" si="25"/>
        <v>0</v>
      </c>
      <c r="X99" s="11">
        <f t="shared" si="26"/>
        <v>0</v>
      </c>
      <c r="Y99" s="11">
        <f t="shared" si="27"/>
        <v>0</v>
      </c>
      <c r="Z99" s="11">
        <f t="shared" si="28"/>
        <v>650</v>
      </c>
      <c r="AA99" s="11">
        <f t="shared" si="29"/>
        <v>300</v>
      </c>
      <c r="AB99" s="11">
        <f t="shared" si="30"/>
        <v>200</v>
      </c>
      <c r="AC99" s="13">
        <f t="shared" si="16"/>
        <v>2200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3">
        <f t="shared" si="17"/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3">
        <f t="shared" si="18"/>
        <v>0</v>
      </c>
    </row>
    <row r="100" spans="1:55">
      <c r="A100" s="4" t="s">
        <v>23</v>
      </c>
      <c r="B100" s="4" t="s">
        <v>216</v>
      </c>
      <c r="C100" s="4" t="s">
        <v>217</v>
      </c>
      <c r="D100" s="6">
        <v>0</v>
      </c>
      <c r="E100" s="6">
        <v>140</v>
      </c>
      <c r="F100" s="6">
        <v>0</v>
      </c>
      <c r="G100" s="6">
        <v>380</v>
      </c>
      <c r="H100" s="6">
        <v>0</v>
      </c>
      <c r="I100" s="6">
        <v>300</v>
      </c>
      <c r="J100" s="6">
        <v>0</v>
      </c>
      <c r="K100" s="6">
        <v>0</v>
      </c>
      <c r="L100" s="6">
        <v>0</v>
      </c>
      <c r="M100" s="6">
        <v>150</v>
      </c>
      <c r="N100" s="6">
        <v>600</v>
      </c>
      <c r="O100" s="6">
        <v>200</v>
      </c>
      <c r="P100" s="9">
        <v>1770</v>
      </c>
      <c r="Q100" s="11">
        <f t="shared" si="19"/>
        <v>0</v>
      </c>
      <c r="R100" s="11">
        <f t="shared" si="20"/>
        <v>140</v>
      </c>
      <c r="S100" s="11">
        <f t="shared" si="21"/>
        <v>0</v>
      </c>
      <c r="T100" s="11">
        <f t="shared" si="22"/>
        <v>380</v>
      </c>
      <c r="U100" s="11">
        <f t="shared" si="23"/>
        <v>0</v>
      </c>
      <c r="V100" s="11">
        <f t="shared" si="24"/>
        <v>300</v>
      </c>
      <c r="W100" s="11">
        <f t="shared" si="25"/>
        <v>0</v>
      </c>
      <c r="X100" s="11">
        <f t="shared" si="26"/>
        <v>0</v>
      </c>
      <c r="Y100" s="11">
        <f t="shared" si="27"/>
        <v>0</v>
      </c>
      <c r="Z100" s="11">
        <f t="shared" si="28"/>
        <v>150</v>
      </c>
      <c r="AA100" s="11">
        <f t="shared" si="29"/>
        <v>600</v>
      </c>
      <c r="AB100" s="11">
        <f t="shared" si="30"/>
        <v>200</v>
      </c>
      <c r="AC100" s="13">
        <f t="shared" si="16"/>
        <v>1770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3">
        <f t="shared" si="17"/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3">
        <f t="shared" si="18"/>
        <v>0</v>
      </c>
    </row>
    <row r="101" spans="1:55">
      <c r="A101" s="4" t="s">
        <v>23</v>
      </c>
      <c r="B101" s="4" t="s">
        <v>218</v>
      </c>
      <c r="C101" s="4" t="s">
        <v>219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50</v>
      </c>
      <c r="J101" s="6">
        <v>0</v>
      </c>
      <c r="K101" s="6">
        <v>140</v>
      </c>
      <c r="L101" s="6">
        <v>300</v>
      </c>
      <c r="M101" s="6">
        <v>150</v>
      </c>
      <c r="N101" s="6">
        <v>0</v>
      </c>
      <c r="O101" s="6">
        <v>0</v>
      </c>
      <c r="P101" s="9">
        <v>640</v>
      </c>
      <c r="Q101" s="11">
        <f t="shared" si="19"/>
        <v>0</v>
      </c>
      <c r="R101" s="11">
        <f t="shared" si="20"/>
        <v>0</v>
      </c>
      <c r="S101" s="11">
        <f t="shared" si="21"/>
        <v>0</v>
      </c>
      <c r="T101" s="11">
        <f t="shared" si="22"/>
        <v>0</v>
      </c>
      <c r="U101" s="11">
        <f t="shared" si="23"/>
        <v>0</v>
      </c>
      <c r="V101" s="11">
        <f t="shared" si="24"/>
        <v>50</v>
      </c>
      <c r="W101" s="11">
        <f t="shared" si="25"/>
        <v>0</v>
      </c>
      <c r="X101" s="11">
        <f t="shared" si="26"/>
        <v>140</v>
      </c>
      <c r="Y101" s="11">
        <f t="shared" si="27"/>
        <v>300</v>
      </c>
      <c r="Z101" s="11">
        <f t="shared" si="28"/>
        <v>150</v>
      </c>
      <c r="AA101" s="11">
        <f t="shared" si="29"/>
        <v>0</v>
      </c>
      <c r="AB101" s="11">
        <f t="shared" si="30"/>
        <v>0</v>
      </c>
      <c r="AC101" s="13">
        <f t="shared" si="16"/>
        <v>640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3">
        <f t="shared" si="17"/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3">
        <f t="shared" si="18"/>
        <v>0</v>
      </c>
    </row>
    <row r="102" spans="1:55">
      <c r="A102" s="4" t="s">
        <v>23</v>
      </c>
      <c r="B102" s="4" t="s">
        <v>220</v>
      </c>
      <c r="C102" s="4" t="s">
        <v>221</v>
      </c>
      <c r="D102" s="6">
        <v>0</v>
      </c>
      <c r="E102" s="6">
        <v>0</v>
      </c>
      <c r="F102" s="6">
        <v>0</v>
      </c>
      <c r="G102" s="6">
        <v>0</v>
      </c>
      <c r="H102" s="6">
        <v>300</v>
      </c>
      <c r="I102" s="6">
        <v>0</v>
      </c>
      <c r="J102" s="6">
        <v>340</v>
      </c>
      <c r="K102" s="6">
        <v>40</v>
      </c>
      <c r="L102" s="6">
        <v>750</v>
      </c>
      <c r="M102" s="6">
        <v>0</v>
      </c>
      <c r="N102" s="6">
        <v>0</v>
      </c>
      <c r="O102" s="6">
        <v>0</v>
      </c>
      <c r="P102" s="9">
        <v>1430</v>
      </c>
      <c r="Q102" s="11">
        <f t="shared" si="19"/>
        <v>0</v>
      </c>
      <c r="R102" s="11">
        <f t="shared" si="20"/>
        <v>0</v>
      </c>
      <c r="S102" s="11">
        <f t="shared" si="21"/>
        <v>0</v>
      </c>
      <c r="T102" s="11">
        <f t="shared" si="22"/>
        <v>0</v>
      </c>
      <c r="U102" s="11">
        <f t="shared" si="23"/>
        <v>300</v>
      </c>
      <c r="V102" s="11">
        <f t="shared" si="24"/>
        <v>0</v>
      </c>
      <c r="W102" s="11">
        <f t="shared" si="25"/>
        <v>340</v>
      </c>
      <c r="X102" s="11">
        <f t="shared" si="26"/>
        <v>40</v>
      </c>
      <c r="Y102" s="11">
        <f t="shared" si="27"/>
        <v>750</v>
      </c>
      <c r="Z102" s="11">
        <f t="shared" si="28"/>
        <v>0</v>
      </c>
      <c r="AA102" s="11">
        <f t="shared" si="29"/>
        <v>0</v>
      </c>
      <c r="AB102" s="11">
        <f t="shared" si="30"/>
        <v>0</v>
      </c>
      <c r="AC102" s="13">
        <f t="shared" si="16"/>
        <v>1430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  <c r="AP102" s="13">
        <f t="shared" si="17"/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3">
        <f t="shared" si="18"/>
        <v>0</v>
      </c>
    </row>
    <row r="103" spans="1:55">
      <c r="A103" s="4" t="s">
        <v>23</v>
      </c>
      <c r="B103" s="4" t="s">
        <v>222</v>
      </c>
      <c r="C103" s="4" t="s">
        <v>223</v>
      </c>
      <c r="D103" s="6">
        <v>0</v>
      </c>
      <c r="E103" s="6">
        <v>0</v>
      </c>
      <c r="F103" s="6">
        <v>0</v>
      </c>
      <c r="G103" s="6">
        <v>0</v>
      </c>
      <c r="H103" s="6">
        <v>150</v>
      </c>
      <c r="I103" s="6">
        <v>0</v>
      </c>
      <c r="J103" s="6">
        <v>340</v>
      </c>
      <c r="K103" s="6">
        <v>10</v>
      </c>
      <c r="L103" s="6">
        <v>600</v>
      </c>
      <c r="M103" s="6">
        <v>0</v>
      </c>
      <c r="N103" s="6">
        <v>0</v>
      </c>
      <c r="O103" s="6">
        <v>0</v>
      </c>
      <c r="P103" s="9">
        <v>1100</v>
      </c>
      <c r="Q103" s="11">
        <f t="shared" si="19"/>
        <v>0</v>
      </c>
      <c r="R103" s="11">
        <f t="shared" si="20"/>
        <v>0</v>
      </c>
      <c r="S103" s="11">
        <f t="shared" si="21"/>
        <v>0</v>
      </c>
      <c r="T103" s="11">
        <f t="shared" si="22"/>
        <v>0</v>
      </c>
      <c r="U103" s="11">
        <f t="shared" si="23"/>
        <v>150</v>
      </c>
      <c r="V103" s="11">
        <f t="shared" si="24"/>
        <v>0</v>
      </c>
      <c r="W103" s="11">
        <f t="shared" si="25"/>
        <v>340</v>
      </c>
      <c r="X103" s="11">
        <f t="shared" si="26"/>
        <v>10</v>
      </c>
      <c r="Y103" s="11">
        <f t="shared" si="27"/>
        <v>600</v>
      </c>
      <c r="Z103" s="11">
        <f t="shared" si="28"/>
        <v>0</v>
      </c>
      <c r="AA103" s="11">
        <f t="shared" si="29"/>
        <v>0</v>
      </c>
      <c r="AB103" s="11">
        <f t="shared" si="30"/>
        <v>0</v>
      </c>
      <c r="AC103" s="13">
        <f t="shared" si="16"/>
        <v>1100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3">
        <f t="shared" si="17"/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3">
        <f t="shared" si="18"/>
        <v>0</v>
      </c>
    </row>
    <row r="104" spans="1:55">
      <c r="A104" s="4" t="s">
        <v>23</v>
      </c>
      <c r="B104" s="4" t="s">
        <v>224</v>
      </c>
      <c r="C104" s="4" t="s">
        <v>225</v>
      </c>
      <c r="D104" s="6">
        <v>0</v>
      </c>
      <c r="E104" s="6">
        <v>0</v>
      </c>
      <c r="F104" s="6">
        <v>0</v>
      </c>
      <c r="G104" s="6">
        <v>0</v>
      </c>
      <c r="H104" s="6">
        <v>80</v>
      </c>
      <c r="I104" s="6">
        <v>0</v>
      </c>
      <c r="J104" s="6">
        <v>0</v>
      </c>
      <c r="K104" s="6">
        <v>310</v>
      </c>
      <c r="L104" s="6">
        <v>150</v>
      </c>
      <c r="M104" s="6">
        <v>0</v>
      </c>
      <c r="N104" s="6">
        <v>0</v>
      </c>
      <c r="O104" s="6">
        <v>0</v>
      </c>
      <c r="P104" s="9">
        <v>540</v>
      </c>
      <c r="Q104" s="11">
        <f t="shared" si="19"/>
        <v>0</v>
      </c>
      <c r="R104" s="11">
        <f t="shared" si="20"/>
        <v>0</v>
      </c>
      <c r="S104" s="11">
        <f t="shared" si="21"/>
        <v>0</v>
      </c>
      <c r="T104" s="11">
        <f t="shared" si="22"/>
        <v>0</v>
      </c>
      <c r="U104" s="11">
        <f t="shared" si="23"/>
        <v>80</v>
      </c>
      <c r="V104" s="11">
        <f t="shared" si="24"/>
        <v>0</v>
      </c>
      <c r="W104" s="11">
        <f t="shared" si="25"/>
        <v>0</v>
      </c>
      <c r="X104" s="11">
        <f t="shared" si="26"/>
        <v>310</v>
      </c>
      <c r="Y104" s="11">
        <f t="shared" si="27"/>
        <v>150</v>
      </c>
      <c r="Z104" s="11">
        <f t="shared" si="28"/>
        <v>0</v>
      </c>
      <c r="AA104" s="11">
        <f t="shared" si="29"/>
        <v>0</v>
      </c>
      <c r="AB104" s="11">
        <f t="shared" si="30"/>
        <v>0</v>
      </c>
      <c r="AC104" s="13">
        <f t="shared" si="16"/>
        <v>540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3">
        <f t="shared" si="17"/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3">
        <f t="shared" si="18"/>
        <v>0</v>
      </c>
    </row>
    <row r="105" spans="1:55">
      <c r="A105" s="4" t="s">
        <v>23</v>
      </c>
      <c r="B105" s="4" t="s">
        <v>226</v>
      </c>
      <c r="C105" s="4" t="s">
        <v>221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540</v>
      </c>
      <c r="J105" s="6">
        <v>0</v>
      </c>
      <c r="K105" s="6">
        <v>350</v>
      </c>
      <c r="L105" s="6">
        <v>750</v>
      </c>
      <c r="M105" s="6">
        <v>0</v>
      </c>
      <c r="N105" s="6">
        <v>0</v>
      </c>
      <c r="O105" s="6">
        <v>0</v>
      </c>
      <c r="P105" s="9">
        <v>1640</v>
      </c>
      <c r="Q105" s="11">
        <f t="shared" si="19"/>
        <v>0</v>
      </c>
      <c r="R105" s="11">
        <f t="shared" si="20"/>
        <v>0</v>
      </c>
      <c r="S105" s="11">
        <f t="shared" si="21"/>
        <v>0</v>
      </c>
      <c r="T105" s="11">
        <f t="shared" si="22"/>
        <v>0</v>
      </c>
      <c r="U105" s="11">
        <f t="shared" si="23"/>
        <v>0</v>
      </c>
      <c r="V105" s="11">
        <f t="shared" si="24"/>
        <v>540</v>
      </c>
      <c r="W105" s="11">
        <f t="shared" si="25"/>
        <v>0</v>
      </c>
      <c r="X105" s="11">
        <f t="shared" si="26"/>
        <v>350</v>
      </c>
      <c r="Y105" s="11">
        <f t="shared" si="27"/>
        <v>750</v>
      </c>
      <c r="Z105" s="11">
        <f t="shared" si="28"/>
        <v>0</v>
      </c>
      <c r="AA105" s="11">
        <f t="shared" si="29"/>
        <v>0</v>
      </c>
      <c r="AB105" s="11">
        <f t="shared" si="30"/>
        <v>0</v>
      </c>
      <c r="AC105" s="13">
        <f t="shared" si="16"/>
        <v>1640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3">
        <f t="shared" si="17"/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3">
        <f t="shared" si="18"/>
        <v>0</v>
      </c>
    </row>
    <row r="106" spans="1:55">
      <c r="A106" s="4" t="s">
        <v>23</v>
      </c>
      <c r="B106" s="4" t="s">
        <v>227</v>
      </c>
      <c r="C106" s="4" t="s">
        <v>228</v>
      </c>
      <c r="D106" s="6">
        <v>0</v>
      </c>
      <c r="E106" s="6">
        <v>0</v>
      </c>
      <c r="F106" s="6">
        <v>1250</v>
      </c>
      <c r="G106" s="6">
        <v>0</v>
      </c>
      <c r="H106" s="6">
        <v>4230</v>
      </c>
      <c r="I106" s="6">
        <v>0</v>
      </c>
      <c r="J106" s="6">
        <v>0</v>
      </c>
      <c r="K106" s="6">
        <v>0</v>
      </c>
      <c r="L106" s="6">
        <v>5000</v>
      </c>
      <c r="M106" s="6">
        <v>5000</v>
      </c>
      <c r="N106" s="6">
        <v>0</v>
      </c>
      <c r="O106" s="6">
        <v>0</v>
      </c>
      <c r="P106" s="9">
        <v>15480</v>
      </c>
      <c r="Q106" s="11">
        <f t="shared" si="19"/>
        <v>0</v>
      </c>
      <c r="R106" s="11">
        <f t="shared" si="20"/>
        <v>0</v>
      </c>
      <c r="S106" s="11">
        <f t="shared" si="21"/>
        <v>1250</v>
      </c>
      <c r="T106" s="11">
        <f t="shared" si="22"/>
        <v>0</v>
      </c>
      <c r="U106" s="11">
        <f t="shared" si="23"/>
        <v>4230</v>
      </c>
      <c r="V106" s="11">
        <f t="shared" si="24"/>
        <v>0</v>
      </c>
      <c r="W106" s="11">
        <f t="shared" si="25"/>
        <v>0</v>
      </c>
      <c r="X106" s="11">
        <f t="shared" si="26"/>
        <v>0</v>
      </c>
      <c r="Y106" s="11">
        <f t="shared" si="27"/>
        <v>5000</v>
      </c>
      <c r="Z106" s="11">
        <f t="shared" si="28"/>
        <v>5000</v>
      </c>
      <c r="AA106" s="11">
        <f t="shared" si="29"/>
        <v>0</v>
      </c>
      <c r="AB106" s="11">
        <f t="shared" si="30"/>
        <v>0</v>
      </c>
      <c r="AC106" s="13">
        <f t="shared" si="16"/>
        <v>15480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  <c r="AP106" s="13">
        <f t="shared" si="17"/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3">
        <f t="shared" si="18"/>
        <v>0</v>
      </c>
    </row>
    <row r="107" spans="1:55">
      <c r="A107" s="4" t="s">
        <v>23</v>
      </c>
      <c r="B107" s="4" t="s">
        <v>229</v>
      </c>
      <c r="C107" s="4" t="s">
        <v>230</v>
      </c>
      <c r="D107" s="6">
        <v>0</v>
      </c>
      <c r="E107" s="6">
        <v>0</v>
      </c>
      <c r="F107" s="6">
        <v>0</v>
      </c>
      <c r="G107" s="6">
        <v>120</v>
      </c>
      <c r="H107" s="6">
        <v>0</v>
      </c>
      <c r="I107" s="6">
        <v>600</v>
      </c>
      <c r="J107" s="6">
        <v>630</v>
      </c>
      <c r="K107" s="6">
        <v>0</v>
      </c>
      <c r="L107" s="6">
        <v>0</v>
      </c>
      <c r="M107" s="6">
        <v>950</v>
      </c>
      <c r="N107" s="6">
        <v>700</v>
      </c>
      <c r="O107" s="6">
        <v>0</v>
      </c>
      <c r="P107" s="9">
        <v>3000</v>
      </c>
      <c r="Q107" s="11">
        <f t="shared" si="19"/>
        <v>0</v>
      </c>
      <c r="R107" s="11">
        <f t="shared" si="20"/>
        <v>0</v>
      </c>
      <c r="S107" s="11">
        <f t="shared" si="21"/>
        <v>0</v>
      </c>
      <c r="T107" s="11">
        <f t="shared" si="22"/>
        <v>120</v>
      </c>
      <c r="U107" s="11">
        <f t="shared" si="23"/>
        <v>0</v>
      </c>
      <c r="V107" s="11">
        <f t="shared" si="24"/>
        <v>600</v>
      </c>
      <c r="W107" s="11">
        <f t="shared" si="25"/>
        <v>630</v>
      </c>
      <c r="X107" s="11">
        <f t="shared" si="26"/>
        <v>0</v>
      </c>
      <c r="Y107" s="11">
        <f t="shared" si="27"/>
        <v>0</v>
      </c>
      <c r="Z107" s="11">
        <f t="shared" si="28"/>
        <v>950</v>
      </c>
      <c r="AA107" s="11">
        <f t="shared" si="29"/>
        <v>700</v>
      </c>
      <c r="AB107" s="11">
        <f t="shared" si="30"/>
        <v>0</v>
      </c>
      <c r="AC107" s="13">
        <f t="shared" si="16"/>
        <v>3000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3">
        <f t="shared" si="17"/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3">
        <f t="shared" si="18"/>
        <v>0</v>
      </c>
    </row>
    <row r="108" spans="1:55">
      <c r="A108" s="4" t="s">
        <v>23</v>
      </c>
      <c r="B108" s="4" t="s">
        <v>231</v>
      </c>
      <c r="C108" s="4" t="s">
        <v>232</v>
      </c>
      <c r="D108" s="6">
        <v>0</v>
      </c>
      <c r="E108" s="6">
        <v>140</v>
      </c>
      <c r="F108" s="6">
        <v>0</v>
      </c>
      <c r="G108" s="6">
        <v>0</v>
      </c>
      <c r="H108" s="6">
        <v>270</v>
      </c>
      <c r="I108" s="6">
        <v>410</v>
      </c>
      <c r="J108" s="6">
        <v>950</v>
      </c>
      <c r="K108" s="6">
        <v>170</v>
      </c>
      <c r="L108" s="6">
        <v>0</v>
      </c>
      <c r="M108" s="6">
        <v>1000</v>
      </c>
      <c r="N108" s="6">
        <v>1000</v>
      </c>
      <c r="O108" s="6">
        <v>1000</v>
      </c>
      <c r="P108" s="9">
        <v>4940</v>
      </c>
      <c r="Q108" s="11">
        <f t="shared" si="19"/>
        <v>0</v>
      </c>
      <c r="R108" s="11">
        <f t="shared" si="20"/>
        <v>140</v>
      </c>
      <c r="S108" s="11">
        <f t="shared" si="21"/>
        <v>0</v>
      </c>
      <c r="T108" s="11">
        <f t="shared" si="22"/>
        <v>0</v>
      </c>
      <c r="U108" s="11">
        <f t="shared" si="23"/>
        <v>270</v>
      </c>
      <c r="V108" s="11">
        <f t="shared" si="24"/>
        <v>410</v>
      </c>
      <c r="W108" s="11">
        <f t="shared" si="25"/>
        <v>950</v>
      </c>
      <c r="X108" s="11">
        <f t="shared" si="26"/>
        <v>170</v>
      </c>
      <c r="Y108" s="11">
        <f t="shared" si="27"/>
        <v>0</v>
      </c>
      <c r="Z108" s="11">
        <f t="shared" si="28"/>
        <v>1000</v>
      </c>
      <c r="AA108" s="11">
        <f t="shared" si="29"/>
        <v>1000</v>
      </c>
      <c r="AB108" s="11">
        <f t="shared" si="30"/>
        <v>1000</v>
      </c>
      <c r="AC108" s="13">
        <f t="shared" si="16"/>
        <v>4940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3">
        <f t="shared" si="17"/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3">
        <f t="shared" si="18"/>
        <v>0</v>
      </c>
    </row>
    <row r="109" spans="1:55">
      <c r="A109" s="4" t="s">
        <v>23</v>
      </c>
      <c r="B109" s="4" t="s">
        <v>233</v>
      </c>
      <c r="C109" s="4" t="s">
        <v>234</v>
      </c>
      <c r="D109" s="6">
        <v>0</v>
      </c>
      <c r="E109" s="6">
        <v>0</v>
      </c>
      <c r="F109" s="6">
        <v>0</v>
      </c>
      <c r="G109" s="6">
        <v>60</v>
      </c>
      <c r="H109" s="6">
        <v>290</v>
      </c>
      <c r="I109" s="6">
        <v>70</v>
      </c>
      <c r="J109" s="6">
        <v>70</v>
      </c>
      <c r="K109" s="6">
        <v>140</v>
      </c>
      <c r="L109" s="6">
        <v>0</v>
      </c>
      <c r="M109" s="6">
        <v>800</v>
      </c>
      <c r="N109" s="6">
        <v>0</v>
      </c>
      <c r="O109" s="6">
        <v>0</v>
      </c>
      <c r="P109" s="9">
        <v>1430</v>
      </c>
      <c r="Q109" s="11">
        <f t="shared" si="19"/>
        <v>0</v>
      </c>
      <c r="R109" s="11">
        <f t="shared" si="20"/>
        <v>0</v>
      </c>
      <c r="S109" s="11">
        <f t="shared" si="21"/>
        <v>0</v>
      </c>
      <c r="T109" s="11">
        <f t="shared" si="22"/>
        <v>60</v>
      </c>
      <c r="U109" s="11">
        <f t="shared" si="23"/>
        <v>290</v>
      </c>
      <c r="V109" s="11">
        <f t="shared" si="24"/>
        <v>70</v>
      </c>
      <c r="W109" s="11">
        <f t="shared" si="25"/>
        <v>70</v>
      </c>
      <c r="X109" s="11">
        <f t="shared" si="26"/>
        <v>140</v>
      </c>
      <c r="Y109" s="11">
        <f t="shared" si="27"/>
        <v>0</v>
      </c>
      <c r="Z109" s="11">
        <f t="shared" si="28"/>
        <v>800</v>
      </c>
      <c r="AA109" s="11">
        <f t="shared" si="29"/>
        <v>0</v>
      </c>
      <c r="AB109" s="11">
        <f t="shared" si="30"/>
        <v>0</v>
      </c>
      <c r="AC109" s="13">
        <f t="shared" si="16"/>
        <v>1430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3">
        <f t="shared" si="17"/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3">
        <f t="shared" si="18"/>
        <v>0</v>
      </c>
    </row>
    <row r="110" spans="1:55">
      <c r="A110" s="4" t="s">
        <v>23</v>
      </c>
      <c r="B110" s="4" t="s">
        <v>235</v>
      </c>
      <c r="C110" s="4" t="s">
        <v>236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300</v>
      </c>
      <c r="N110" s="6">
        <v>0</v>
      </c>
      <c r="O110" s="6">
        <v>0</v>
      </c>
      <c r="P110" s="9">
        <v>300</v>
      </c>
      <c r="Q110" s="11">
        <f t="shared" si="19"/>
        <v>0</v>
      </c>
      <c r="R110" s="11">
        <f t="shared" si="20"/>
        <v>0</v>
      </c>
      <c r="S110" s="11">
        <f t="shared" si="21"/>
        <v>0</v>
      </c>
      <c r="T110" s="11">
        <f t="shared" si="22"/>
        <v>0</v>
      </c>
      <c r="U110" s="11">
        <f t="shared" si="23"/>
        <v>0</v>
      </c>
      <c r="V110" s="11">
        <f t="shared" si="24"/>
        <v>0</v>
      </c>
      <c r="W110" s="11">
        <f t="shared" si="25"/>
        <v>0</v>
      </c>
      <c r="X110" s="11">
        <f t="shared" si="26"/>
        <v>0</v>
      </c>
      <c r="Y110" s="11">
        <f t="shared" si="27"/>
        <v>0</v>
      </c>
      <c r="Z110" s="11">
        <f t="shared" si="28"/>
        <v>300</v>
      </c>
      <c r="AA110" s="11">
        <f t="shared" si="29"/>
        <v>0</v>
      </c>
      <c r="AB110" s="11">
        <f t="shared" si="30"/>
        <v>0</v>
      </c>
      <c r="AC110" s="13">
        <f t="shared" si="16"/>
        <v>300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3">
        <f t="shared" si="17"/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3">
        <f t="shared" si="18"/>
        <v>0</v>
      </c>
    </row>
    <row r="111" spans="1:55">
      <c r="A111" s="4" t="s">
        <v>23</v>
      </c>
      <c r="B111" s="4" t="s">
        <v>237</v>
      </c>
      <c r="C111" s="4" t="s">
        <v>238</v>
      </c>
      <c r="D111" s="6">
        <v>14480</v>
      </c>
      <c r="E111" s="6">
        <v>7730</v>
      </c>
      <c r="F111" s="6">
        <v>1400</v>
      </c>
      <c r="G111" s="6">
        <v>3430</v>
      </c>
      <c r="H111" s="6">
        <v>9370</v>
      </c>
      <c r="I111" s="6">
        <v>19750</v>
      </c>
      <c r="J111" s="6">
        <v>15120</v>
      </c>
      <c r="K111" s="6">
        <v>14320</v>
      </c>
      <c r="L111" s="6">
        <v>18000</v>
      </c>
      <c r="M111" s="6">
        <v>18000</v>
      </c>
      <c r="N111" s="6">
        <v>10000</v>
      </c>
      <c r="O111" s="6">
        <v>10000</v>
      </c>
      <c r="P111" s="9">
        <v>141600</v>
      </c>
      <c r="Q111" s="11">
        <f t="shared" si="19"/>
        <v>14480</v>
      </c>
      <c r="R111" s="11">
        <f t="shared" si="20"/>
        <v>7730</v>
      </c>
      <c r="S111" s="11">
        <f t="shared" si="21"/>
        <v>1400</v>
      </c>
      <c r="T111" s="11">
        <f t="shared" si="22"/>
        <v>3430</v>
      </c>
      <c r="U111" s="11">
        <f t="shared" si="23"/>
        <v>9370</v>
      </c>
      <c r="V111" s="11">
        <f t="shared" si="24"/>
        <v>19750</v>
      </c>
      <c r="W111" s="11">
        <f t="shared" si="25"/>
        <v>15120</v>
      </c>
      <c r="X111" s="11">
        <f t="shared" si="26"/>
        <v>14320</v>
      </c>
      <c r="Y111" s="11">
        <f t="shared" si="27"/>
        <v>18000</v>
      </c>
      <c r="Z111" s="11">
        <f t="shared" si="28"/>
        <v>18000</v>
      </c>
      <c r="AA111" s="11">
        <f t="shared" si="29"/>
        <v>10000</v>
      </c>
      <c r="AB111" s="11">
        <f t="shared" si="30"/>
        <v>10000</v>
      </c>
      <c r="AC111" s="13">
        <f t="shared" si="16"/>
        <v>141600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3">
        <f t="shared" si="17"/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  <c r="BB111" s="16">
        <v>0</v>
      </c>
      <c r="BC111" s="13">
        <f t="shared" si="18"/>
        <v>0</v>
      </c>
    </row>
    <row r="112" spans="1:55">
      <c r="A112" s="4" t="s">
        <v>23</v>
      </c>
      <c r="B112" s="4" t="s">
        <v>239</v>
      </c>
      <c r="C112" s="4" t="s">
        <v>179</v>
      </c>
      <c r="D112" s="6">
        <v>0</v>
      </c>
      <c r="E112" s="6">
        <v>0</v>
      </c>
      <c r="F112" s="6">
        <v>0</v>
      </c>
      <c r="G112" s="6">
        <v>140</v>
      </c>
      <c r="H112" s="6">
        <v>50</v>
      </c>
      <c r="I112" s="6">
        <v>0</v>
      </c>
      <c r="J112" s="6">
        <v>0</v>
      </c>
      <c r="K112" s="6">
        <v>50</v>
      </c>
      <c r="L112" s="6">
        <v>50</v>
      </c>
      <c r="M112" s="6">
        <v>0</v>
      </c>
      <c r="N112" s="6">
        <v>0</v>
      </c>
      <c r="O112" s="6">
        <v>0</v>
      </c>
      <c r="P112" s="9">
        <v>290</v>
      </c>
      <c r="Q112" s="11">
        <f t="shared" si="19"/>
        <v>0</v>
      </c>
      <c r="R112" s="11">
        <f t="shared" si="20"/>
        <v>0</v>
      </c>
      <c r="S112" s="11">
        <f t="shared" si="21"/>
        <v>0</v>
      </c>
      <c r="T112" s="11">
        <f t="shared" si="22"/>
        <v>140</v>
      </c>
      <c r="U112" s="11">
        <f t="shared" si="23"/>
        <v>50</v>
      </c>
      <c r="V112" s="11">
        <f t="shared" si="24"/>
        <v>0</v>
      </c>
      <c r="W112" s="11">
        <f t="shared" si="25"/>
        <v>0</v>
      </c>
      <c r="X112" s="11">
        <f t="shared" si="26"/>
        <v>50</v>
      </c>
      <c r="Y112" s="11">
        <f t="shared" si="27"/>
        <v>50</v>
      </c>
      <c r="Z112" s="11">
        <f t="shared" si="28"/>
        <v>0</v>
      </c>
      <c r="AA112" s="11">
        <f t="shared" si="29"/>
        <v>0</v>
      </c>
      <c r="AB112" s="11">
        <f t="shared" si="30"/>
        <v>0</v>
      </c>
      <c r="AC112" s="13">
        <f t="shared" si="16"/>
        <v>290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3">
        <f t="shared" si="17"/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3">
        <f t="shared" si="18"/>
        <v>0</v>
      </c>
    </row>
    <row r="113" spans="1:55">
      <c r="A113" s="4" t="s">
        <v>23</v>
      </c>
      <c r="B113" s="4" t="s">
        <v>240</v>
      </c>
      <c r="C113" s="4" t="s">
        <v>230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40</v>
      </c>
      <c r="K113" s="6">
        <v>0</v>
      </c>
      <c r="L113" s="6">
        <v>0</v>
      </c>
      <c r="M113" s="6">
        <v>50</v>
      </c>
      <c r="N113" s="6">
        <v>0</v>
      </c>
      <c r="O113" s="6">
        <v>0</v>
      </c>
      <c r="P113" s="9">
        <v>90</v>
      </c>
      <c r="Q113" s="11">
        <f t="shared" si="19"/>
        <v>0</v>
      </c>
      <c r="R113" s="11">
        <f t="shared" si="20"/>
        <v>0</v>
      </c>
      <c r="S113" s="11">
        <f t="shared" si="21"/>
        <v>0</v>
      </c>
      <c r="T113" s="11">
        <f t="shared" si="22"/>
        <v>0</v>
      </c>
      <c r="U113" s="11">
        <f t="shared" si="23"/>
        <v>0</v>
      </c>
      <c r="V113" s="11">
        <f t="shared" si="24"/>
        <v>0</v>
      </c>
      <c r="W113" s="11">
        <f t="shared" si="25"/>
        <v>40</v>
      </c>
      <c r="X113" s="11">
        <f t="shared" si="26"/>
        <v>0</v>
      </c>
      <c r="Y113" s="11">
        <f t="shared" si="27"/>
        <v>0</v>
      </c>
      <c r="Z113" s="11">
        <f t="shared" si="28"/>
        <v>50</v>
      </c>
      <c r="AA113" s="11">
        <f t="shared" si="29"/>
        <v>0</v>
      </c>
      <c r="AB113" s="11">
        <f t="shared" si="30"/>
        <v>0</v>
      </c>
      <c r="AC113" s="13">
        <f t="shared" si="16"/>
        <v>90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3">
        <f t="shared" si="17"/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3">
        <f t="shared" si="18"/>
        <v>0</v>
      </c>
    </row>
    <row r="114" spans="1:55">
      <c r="A114" s="4" t="s">
        <v>23</v>
      </c>
      <c r="B114" s="4" t="s">
        <v>241</v>
      </c>
      <c r="C114" s="4" t="s">
        <v>242</v>
      </c>
      <c r="D114" s="6">
        <v>0</v>
      </c>
      <c r="E114" s="6">
        <v>0</v>
      </c>
      <c r="F114" s="6">
        <v>30</v>
      </c>
      <c r="G114" s="6">
        <v>0</v>
      </c>
      <c r="H114" s="6">
        <v>0</v>
      </c>
      <c r="I114" s="6">
        <v>0</v>
      </c>
      <c r="J114" s="6">
        <v>70</v>
      </c>
      <c r="K114" s="6">
        <v>0</v>
      </c>
      <c r="L114" s="6">
        <v>0</v>
      </c>
      <c r="M114" s="6">
        <v>50</v>
      </c>
      <c r="N114" s="6">
        <v>0</v>
      </c>
      <c r="O114" s="6">
        <v>0</v>
      </c>
      <c r="P114" s="9">
        <v>150</v>
      </c>
      <c r="Q114" s="11">
        <f t="shared" si="19"/>
        <v>0</v>
      </c>
      <c r="R114" s="11">
        <f t="shared" si="20"/>
        <v>0</v>
      </c>
      <c r="S114" s="11">
        <f t="shared" si="21"/>
        <v>30</v>
      </c>
      <c r="T114" s="11">
        <f t="shared" si="22"/>
        <v>0</v>
      </c>
      <c r="U114" s="11">
        <f t="shared" si="23"/>
        <v>0</v>
      </c>
      <c r="V114" s="11">
        <f t="shared" si="24"/>
        <v>0</v>
      </c>
      <c r="W114" s="11">
        <f t="shared" si="25"/>
        <v>70</v>
      </c>
      <c r="X114" s="11">
        <f t="shared" si="26"/>
        <v>0</v>
      </c>
      <c r="Y114" s="11">
        <f t="shared" si="27"/>
        <v>0</v>
      </c>
      <c r="Z114" s="11">
        <f t="shared" si="28"/>
        <v>50</v>
      </c>
      <c r="AA114" s="11">
        <f t="shared" si="29"/>
        <v>0</v>
      </c>
      <c r="AB114" s="11">
        <f t="shared" si="30"/>
        <v>0</v>
      </c>
      <c r="AC114" s="13">
        <f t="shared" si="16"/>
        <v>150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3">
        <f t="shared" si="17"/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3">
        <f t="shared" si="18"/>
        <v>0</v>
      </c>
    </row>
    <row r="115" spans="1:55">
      <c r="A115" s="4" t="s">
        <v>23</v>
      </c>
      <c r="B115" s="4" t="s">
        <v>243</v>
      </c>
      <c r="C115" s="4" t="s">
        <v>221</v>
      </c>
      <c r="D115" s="6">
        <v>0</v>
      </c>
      <c r="E115" s="6">
        <v>0</v>
      </c>
      <c r="F115" s="6">
        <v>0</v>
      </c>
      <c r="G115" s="6">
        <v>0</v>
      </c>
      <c r="H115" s="6">
        <v>50</v>
      </c>
      <c r="I115" s="6">
        <v>0</v>
      </c>
      <c r="J115" s="6">
        <v>0</v>
      </c>
      <c r="K115" s="6">
        <v>50</v>
      </c>
      <c r="L115" s="6">
        <v>50</v>
      </c>
      <c r="M115" s="6">
        <v>0</v>
      </c>
      <c r="N115" s="6">
        <v>0</v>
      </c>
      <c r="O115" s="6">
        <v>0</v>
      </c>
      <c r="P115" s="9">
        <v>150</v>
      </c>
      <c r="Q115" s="11">
        <f t="shared" si="19"/>
        <v>0</v>
      </c>
      <c r="R115" s="11">
        <f t="shared" si="20"/>
        <v>0</v>
      </c>
      <c r="S115" s="11">
        <f t="shared" si="21"/>
        <v>0</v>
      </c>
      <c r="T115" s="11">
        <f t="shared" si="22"/>
        <v>0</v>
      </c>
      <c r="U115" s="11">
        <f t="shared" si="23"/>
        <v>50</v>
      </c>
      <c r="V115" s="11">
        <f t="shared" si="24"/>
        <v>0</v>
      </c>
      <c r="W115" s="11">
        <f t="shared" si="25"/>
        <v>0</v>
      </c>
      <c r="X115" s="11">
        <f t="shared" si="26"/>
        <v>50</v>
      </c>
      <c r="Y115" s="11">
        <f t="shared" si="27"/>
        <v>50</v>
      </c>
      <c r="Z115" s="11">
        <f t="shared" si="28"/>
        <v>0</v>
      </c>
      <c r="AA115" s="11">
        <f t="shared" si="29"/>
        <v>0</v>
      </c>
      <c r="AB115" s="11">
        <f t="shared" si="30"/>
        <v>0</v>
      </c>
      <c r="AC115" s="13">
        <f t="shared" si="16"/>
        <v>150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3">
        <f t="shared" si="17"/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  <c r="BB115" s="16">
        <v>0</v>
      </c>
      <c r="BC115" s="13">
        <f t="shared" si="18"/>
        <v>0</v>
      </c>
    </row>
    <row r="116" spans="1:55">
      <c r="A116" s="4" t="s">
        <v>23</v>
      </c>
      <c r="B116" s="4" t="s">
        <v>244</v>
      </c>
      <c r="C116" s="4" t="s">
        <v>215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30</v>
      </c>
      <c r="N116" s="6">
        <v>250</v>
      </c>
      <c r="O116" s="6">
        <v>0</v>
      </c>
      <c r="P116" s="9">
        <v>280</v>
      </c>
      <c r="Q116" s="11">
        <f t="shared" si="19"/>
        <v>0</v>
      </c>
      <c r="R116" s="11">
        <f t="shared" si="20"/>
        <v>0</v>
      </c>
      <c r="S116" s="11">
        <f t="shared" si="21"/>
        <v>0</v>
      </c>
      <c r="T116" s="11">
        <f t="shared" si="22"/>
        <v>0</v>
      </c>
      <c r="U116" s="11">
        <f t="shared" si="23"/>
        <v>0</v>
      </c>
      <c r="V116" s="11">
        <f t="shared" si="24"/>
        <v>0</v>
      </c>
      <c r="W116" s="11">
        <f t="shared" si="25"/>
        <v>0</v>
      </c>
      <c r="X116" s="11">
        <f t="shared" si="26"/>
        <v>0</v>
      </c>
      <c r="Y116" s="11">
        <f t="shared" si="27"/>
        <v>0</v>
      </c>
      <c r="Z116" s="11">
        <f t="shared" si="28"/>
        <v>30</v>
      </c>
      <c r="AA116" s="11">
        <f t="shared" si="29"/>
        <v>250</v>
      </c>
      <c r="AB116" s="11">
        <f t="shared" si="30"/>
        <v>0</v>
      </c>
      <c r="AC116" s="13">
        <f t="shared" si="16"/>
        <v>280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3">
        <f t="shared" si="17"/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3">
        <f t="shared" si="18"/>
        <v>0</v>
      </c>
    </row>
    <row r="117" spans="1:55">
      <c r="A117" s="4" t="s">
        <v>23</v>
      </c>
      <c r="B117" s="4" t="s">
        <v>245</v>
      </c>
      <c r="C117" s="4" t="s">
        <v>217</v>
      </c>
      <c r="D117" s="6">
        <v>190</v>
      </c>
      <c r="E117" s="6">
        <v>60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30</v>
      </c>
      <c r="N117" s="6">
        <v>0</v>
      </c>
      <c r="O117" s="6">
        <v>0</v>
      </c>
      <c r="P117" s="9">
        <v>280</v>
      </c>
      <c r="Q117" s="11">
        <f t="shared" si="19"/>
        <v>190</v>
      </c>
      <c r="R117" s="11">
        <f t="shared" si="20"/>
        <v>60</v>
      </c>
      <c r="S117" s="11">
        <f t="shared" si="21"/>
        <v>0</v>
      </c>
      <c r="T117" s="11">
        <f t="shared" si="22"/>
        <v>0</v>
      </c>
      <c r="U117" s="11">
        <f t="shared" si="23"/>
        <v>0</v>
      </c>
      <c r="V117" s="11">
        <f t="shared" si="24"/>
        <v>0</v>
      </c>
      <c r="W117" s="11">
        <f t="shared" si="25"/>
        <v>0</v>
      </c>
      <c r="X117" s="11">
        <f t="shared" si="26"/>
        <v>0</v>
      </c>
      <c r="Y117" s="11">
        <f t="shared" si="27"/>
        <v>0</v>
      </c>
      <c r="Z117" s="11">
        <f t="shared" si="28"/>
        <v>30</v>
      </c>
      <c r="AA117" s="11">
        <f t="shared" si="29"/>
        <v>0</v>
      </c>
      <c r="AB117" s="11">
        <f t="shared" si="30"/>
        <v>0</v>
      </c>
      <c r="AC117" s="13">
        <f t="shared" si="16"/>
        <v>280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3">
        <f t="shared" si="17"/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3">
        <f t="shared" si="18"/>
        <v>0</v>
      </c>
    </row>
    <row r="118" spans="1:55">
      <c r="A118" s="4" t="s">
        <v>23</v>
      </c>
      <c r="B118" s="4" t="s">
        <v>246</v>
      </c>
      <c r="C118" s="4" t="s">
        <v>215</v>
      </c>
      <c r="D118" s="6">
        <v>0</v>
      </c>
      <c r="E118" s="6">
        <v>0</v>
      </c>
      <c r="F118" s="6">
        <v>0</v>
      </c>
      <c r="G118" s="6">
        <v>0</v>
      </c>
      <c r="H118" s="6">
        <v>170</v>
      </c>
      <c r="I118" s="6">
        <v>0</v>
      </c>
      <c r="J118" s="6">
        <v>0</v>
      </c>
      <c r="K118" s="6">
        <v>0</v>
      </c>
      <c r="L118" s="6">
        <v>0</v>
      </c>
      <c r="M118" s="6">
        <v>30</v>
      </c>
      <c r="N118" s="6">
        <v>0</v>
      </c>
      <c r="O118" s="6">
        <v>0</v>
      </c>
      <c r="P118" s="9">
        <v>200</v>
      </c>
      <c r="Q118" s="11">
        <f t="shared" si="19"/>
        <v>0</v>
      </c>
      <c r="R118" s="11">
        <f t="shared" si="20"/>
        <v>0</v>
      </c>
      <c r="S118" s="11">
        <f t="shared" si="21"/>
        <v>0</v>
      </c>
      <c r="T118" s="11">
        <f t="shared" si="22"/>
        <v>0</v>
      </c>
      <c r="U118" s="11">
        <f t="shared" si="23"/>
        <v>170</v>
      </c>
      <c r="V118" s="11">
        <f t="shared" si="24"/>
        <v>0</v>
      </c>
      <c r="W118" s="11">
        <f t="shared" si="25"/>
        <v>0</v>
      </c>
      <c r="X118" s="11">
        <f t="shared" si="26"/>
        <v>0</v>
      </c>
      <c r="Y118" s="11">
        <f t="shared" si="27"/>
        <v>0</v>
      </c>
      <c r="Z118" s="11">
        <f t="shared" si="28"/>
        <v>30</v>
      </c>
      <c r="AA118" s="11">
        <f t="shared" si="29"/>
        <v>0</v>
      </c>
      <c r="AB118" s="11">
        <f t="shared" si="30"/>
        <v>0</v>
      </c>
      <c r="AC118" s="13">
        <f t="shared" si="16"/>
        <v>200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3">
        <f t="shared" si="17"/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3">
        <f t="shared" si="18"/>
        <v>0</v>
      </c>
    </row>
    <row r="119" spans="1:55">
      <c r="A119" s="4" t="s">
        <v>23</v>
      </c>
      <c r="B119" s="4" t="s">
        <v>247</v>
      </c>
      <c r="C119" s="4" t="s">
        <v>217</v>
      </c>
      <c r="D119" s="6">
        <v>90</v>
      </c>
      <c r="E119" s="6">
        <v>0</v>
      </c>
      <c r="F119" s="6">
        <v>0</v>
      </c>
      <c r="G119" s="6">
        <v>0</v>
      </c>
      <c r="H119" s="6">
        <v>110</v>
      </c>
      <c r="I119" s="6">
        <v>0</v>
      </c>
      <c r="J119" s="6">
        <v>0</v>
      </c>
      <c r="K119" s="6">
        <v>0</v>
      </c>
      <c r="L119" s="6">
        <v>0</v>
      </c>
      <c r="M119" s="6">
        <v>30</v>
      </c>
      <c r="N119" s="6">
        <v>0</v>
      </c>
      <c r="O119" s="6">
        <v>0</v>
      </c>
      <c r="P119" s="9">
        <v>230</v>
      </c>
      <c r="Q119" s="11">
        <f t="shared" si="19"/>
        <v>90</v>
      </c>
      <c r="R119" s="11">
        <f t="shared" si="20"/>
        <v>0</v>
      </c>
      <c r="S119" s="11">
        <f t="shared" si="21"/>
        <v>0</v>
      </c>
      <c r="T119" s="11">
        <f t="shared" si="22"/>
        <v>0</v>
      </c>
      <c r="U119" s="11">
        <f t="shared" si="23"/>
        <v>110</v>
      </c>
      <c r="V119" s="11">
        <f t="shared" si="24"/>
        <v>0</v>
      </c>
      <c r="W119" s="11">
        <f t="shared" si="25"/>
        <v>0</v>
      </c>
      <c r="X119" s="11">
        <f t="shared" si="26"/>
        <v>0</v>
      </c>
      <c r="Y119" s="11">
        <f t="shared" si="27"/>
        <v>0</v>
      </c>
      <c r="Z119" s="11">
        <f t="shared" si="28"/>
        <v>30</v>
      </c>
      <c r="AA119" s="11">
        <f t="shared" si="29"/>
        <v>0</v>
      </c>
      <c r="AB119" s="11">
        <f t="shared" si="30"/>
        <v>0</v>
      </c>
      <c r="AC119" s="13">
        <f t="shared" si="16"/>
        <v>230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3">
        <f t="shared" si="17"/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3">
        <f t="shared" si="18"/>
        <v>0</v>
      </c>
    </row>
    <row r="120" spans="1:55">
      <c r="A120" s="4" t="s">
        <v>23</v>
      </c>
      <c r="B120" s="4" t="s">
        <v>248</v>
      </c>
      <c r="C120" s="4" t="s">
        <v>230</v>
      </c>
      <c r="D120" s="6">
        <v>300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100</v>
      </c>
      <c r="N120" s="6">
        <v>0</v>
      </c>
      <c r="O120" s="6">
        <v>0</v>
      </c>
      <c r="P120" s="9">
        <v>400</v>
      </c>
      <c r="Q120" s="11">
        <f t="shared" si="19"/>
        <v>300</v>
      </c>
      <c r="R120" s="11">
        <f t="shared" si="20"/>
        <v>0</v>
      </c>
      <c r="S120" s="11">
        <f t="shared" si="21"/>
        <v>0</v>
      </c>
      <c r="T120" s="11">
        <f t="shared" si="22"/>
        <v>0</v>
      </c>
      <c r="U120" s="11">
        <f t="shared" si="23"/>
        <v>0</v>
      </c>
      <c r="V120" s="11">
        <f t="shared" si="24"/>
        <v>0</v>
      </c>
      <c r="W120" s="11">
        <f t="shared" si="25"/>
        <v>0</v>
      </c>
      <c r="X120" s="11">
        <f t="shared" si="26"/>
        <v>0</v>
      </c>
      <c r="Y120" s="11">
        <f t="shared" si="27"/>
        <v>0</v>
      </c>
      <c r="Z120" s="11">
        <f t="shared" si="28"/>
        <v>100</v>
      </c>
      <c r="AA120" s="11">
        <f t="shared" si="29"/>
        <v>0</v>
      </c>
      <c r="AB120" s="11">
        <f t="shared" si="30"/>
        <v>0</v>
      </c>
      <c r="AC120" s="13">
        <f t="shared" si="16"/>
        <v>400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3">
        <f t="shared" si="17"/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3">
        <f t="shared" si="18"/>
        <v>0</v>
      </c>
    </row>
    <row r="121" spans="1:55">
      <c r="A121" s="4" t="s">
        <v>23</v>
      </c>
      <c r="B121" s="4" t="s">
        <v>249</v>
      </c>
      <c r="C121" s="4" t="s">
        <v>250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50</v>
      </c>
      <c r="L121" s="6">
        <v>0</v>
      </c>
      <c r="M121" s="6">
        <v>50</v>
      </c>
      <c r="N121" s="6">
        <v>0</v>
      </c>
      <c r="O121" s="6">
        <v>0</v>
      </c>
      <c r="P121" s="9">
        <v>100</v>
      </c>
      <c r="Q121" s="11">
        <f t="shared" si="19"/>
        <v>0</v>
      </c>
      <c r="R121" s="11">
        <f t="shared" si="20"/>
        <v>0</v>
      </c>
      <c r="S121" s="11">
        <f t="shared" si="21"/>
        <v>0</v>
      </c>
      <c r="T121" s="11">
        <f t="shared" si="22"/>
        <v>0</v>
      </c>
      <c r="U121" s="11">
        <f t="shared" si="23"/>
        <v>0</v>
      </c>
      <c r="V121" s="11">
        <f t="shared" si="24"/>
        <v>0</v>
      </c>
      <c r="W121" s="11">
        <f t="shared" si="25"/>
        <v>0</v>
      </c>
      <c r="X121" s="11">
        <f t="shared" si="26"/>
        <v>50</v>
      </c>
      <c r="Y121" s="11">
        <f t="shared" si="27"/>
        <v>0</v>
      </c>
      <c r="Z121" s="11">
        <f t="shared" si="28"/>
        <v>50</v>
      </c>
      <c r="AA121" s="11">
        <f t="shared" si="29"/>
        <v>0</v>
      </c>
      <c r="AB121" s="11">
        <f t="shared" si="30"/>
        <v>0</v>
      </c>
      <c r="AC121" s="13">
        <f t="shared" si="16"/>
        <v>100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3">
        <f t="shared" si="17"/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3">
        <f t="shared" si="18"/>
        <v>0</v>
      </c>
    </row>
    <row r="122" spans="1:55">
      <c r="A122" s="4" t="s">
        <v>23</v>
      </c>
      <c r="B122" s="4" t="s">
        <v>251</v>
      </c>
      <c r="C122" s="4" t="s">
        <v>179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300</v>
      </c>
      <c r="J122" s="6">
        <v>0</v>
      </c>
      <c r="K122" s="6">
        <v>200</v>
      </c>
      <c r="L122" s="6">
        <v>500</v>
      </c>
      <c r="M122" s="6">
        <v>0</v>
      </c>
      <c r="N122" s="6">
        <v>0</v>
      </c>
      <c r="O122" s="6">
        <v>0</v>
      </c>
      <c r="P122" s="9">
        <v>1000</v>
      </c>
      <c r="Q122" s="11">
        <f t="shared" si="19"/>
        <v>0</v>
      </c>
      <c r="R122" s="11">
        <f t="shared" si="20"/>
        <v>0</v>
      </c>
      <c r="S122" s="11">
        <f t="shared" si="21"/>
        <v>0</v>
      </c>
      <c r="T122" s="11">
        <f t="shared" si="22"/>
        <v>0</v>
      </c>
      <c r="U122" s="11">
        <f t="shared" si="23"/>
        <v>0</v>
      </c>
      <c r="V122" s="11">
        <f t="shared" si="24"/>
        <v>300</v>
      </c>
      <c r="W122" s="11">
        <f t="shared" si="25"/>
        <v>0</v>
      </c>
      <c r="X122" s="11">
        <f t="shared" si="26"/>
        <v>200</v>
      </c>
      <c r="Y122" s="11">
        <f t="shared" si="27"/>
        <v>500</v>
      </c>
      <c r="Z122" s="11">
        <f t="shared" si="28"/>
        <v>0</v>
      </c>
      <c r="AA122" s="11">
        <f t="shared" si="29"/>
        <v>0</v>
      </c>
      <c r="AB122" s="11">
        <f t="shared" si="30"/>
        <v>0</v>
      </c>
      <c r="AC122" s="13">
        <f t="shared" si="16"/>
        <v>1000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0</v>
      </c>
      <c r="AP122" s="13">
        <f t="shared" si="17"/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3">
        <f t="shared" si="18"/>
        <v>0</v>
      </c>
    </row>
    <row r="123" spans="1:55">
      <c r="A123" s="4" t="s">
        <v>23</v>
      </c>
      <c r="B123" s="4" t="s">
        <v>252</v>
      </c>
      <c r="C123" s="4" t="s">
        <v>253</v>
      </c>
      <c r="D123" s="6">
        <v>0</v>
      </c>
      <c r="E123" s="6">
        <v>0</v>
      </c>
      <c r="F123" s="6">
        <v>0</v>
      </c>
      <c r="G123" s="6">
        <v>0</v>
      </c>
      <c r="H123" s="6">
        <v>120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9">
        <v>120</v>
      </c>
      <c r="Q123" s="11">
        <f t="shared" si="19"/>
        <v>0</v>
      </c>
      <c r="R123" s="11">
        <f t="shared" si="20"/>
        <v>0</v>
      </c>
      <c r="S123" s="11">
        <f t="shared" si="21"/>
        <v>0</v>
      </c>
      <c r="T123" s="11">
        <f t="shared" si="22"/>
        <v>0</v>
      </c>
      <c r="U123" s="11">
        <f t="shared" si="23"/>
        <v>120</v>
      </c>
      <c r="V123" s="11">
        <f t="shared" si="24"/>
        <v>0</v>
      </c>
      <c r="W123" s="11">
        <f t="shared" si="25"/>
        <v>0</v>
      </c>
      <c r="X123" s="11">
        <f t="shared" si="26"/>
        <v>0</v>
      </c>
      <c r="Y123" s="11">
        <f t="shared" si="27"/>
        <v>0</v>
      </c>
      <c r="Z123" s="11">
        <f t="shared" si="28"/>
        <v>0</v>
      </c>
      <c r="AA123" s="11">
        <f t="shared" si="29"/>
        <v>0</v>
      </c>
      <c r="AB123" s="11">
        <f t="shared" si="30"/>
        <v>0</v>
      </c>
      <c r="AC123" s="13">
        <f t="shared" si="16"/>
        <v>120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3">
        <f t="shared" si="17"/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0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3">
        <f t="shared" si="18"/>
        <v>0</v>
      </c>
    </row>
    <row r="124" spans="1:55">
      <c r="A124" s="4" t="s">
        <v>23</v>
      </c>
      <c r="B124" s="4" t="s">
        <v>254</v>
      </c>
      <c r="C124" s="4" t="s">
        <v>255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190</v>
      </c>
      <c r="L124" s="6">
        <v>0</v>
      </c>
      <c r="M124" s="6">
        <v>0</v>
      </c>
      <c r="N124" s="6">
        <v>0</v>
      </c>
      <c r="O124" s="6">
        <v>0</v>
      </c>
      <c r="P124" s="9">
        <v>190</v>
      </c>
      <c r="Q124" s="11">
        <f t="shared" si="19"/>
        <v>0</v>
      </c>
      <c r="R124" s="11">
        <f t="shared" si="20"/>
        <v>0</v>
      </c>
      <c r="S124" s="11">
        <f t="shared" si="21"/>
        <v>0</v>
      </c>
      <c r="T124" s="11">
        <f t="shared" si="22"/>
        <v>0</v>
      </c>
      <c r="U124" s="11">
        <f t="shared" si="23"/>
        <v>0</v>
      </c>
      <c r="V124" s="11">
        <f t="shared" si="24"/>
        <v>0</v>
      </c>
      <c r="W124" s="11">
        <f t="shared" si="25"/>
        <v>0</v>
      </c>
      <c r="X124" s="11">
        <f t="shared" si="26"/>
        <v>190</v>
      </c>
      <c r="Y124" s="11">
        <f t="shared" si="27"/>
        <v>0</v>
      </c>
      <c r="Z124" s="11">
        <f t="shared" si="28"/>
        <v>0</v>
      </c>
      <c r="AA124" s="11">
        <f t="shared" si="29"/>
        <v>0</v>
      </c>
      <c r="AB124" s="11">
        <f t="shared" si="30"/>
        <v>0</v>
      </c>
      <c r="AC124" s="13">
        <f t="shared" si="16"/>
        <v>190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3">
        <f t="shared" si="17"/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3">
        <f t="shared" si="18"/>
        <v>0</v>
      </c>
    </row>
    <row r="125" spans="1:55">
      <c r="A125" s="4" t="s">
        <v>23</v>
      </c>
      <c r="B125" s="4" t="s">
        <v>256</v>
      </c>
      <c r="C125" s="4" t="s">
        <v>257</v>
      </c>
      <c r="D125" s="6">
        <v>0</v>
      </c>
      <c r="E125" s="6">
        <v>0</v>
      </c>
      <c r="F125" s="6">
        <v>0</v>
      </c>
      <c r="G125" s="6">
        <v>80</v>
      </c>
      <c r="H125" s="6">
        <v>0</v>
      </c>
      <c r="I125" s="6">
        <v>0</v>
      </c>
      <c r="J125" s="6">
        <v>0</v>
      </c>
      <c r="K125" s="6">
        <v>0</v>
      </c>
      <c r="L125" s="6">
        <v>900</v>
      </c>
      <c r="M125" s="6">
        <v>0</v>
      </c>
      <c r="N125" s="6">
        <v>0</v>
      </c>
      <c r="O125" s="6">
        <v>0</v>
      </c>
      <c r="P125" s="9">
        <v>980</v>
      </c>
      <c r="Q125" s="11">
        <f t="shared" si="19"/>
        <v>0</v>
      </c>
      <c r="R125" s="11">
        <f t="shared" si="20"/>
        <v>0</v>
      </c>
      <c r="S125" s="11">
        <f t="shared" si="21"/>
        <v>0</v>
      </c>
      <c r="T125" s="11">
        <f t="shared" si="22"/>
        <v>80</v>
      </c>
      <c r="U125" s="11">
        <f t="shared" si="23"/>
        <v>0</v>
      </c>
      <c r="V125" s="11">
        <f t="shared" si="24"/>
        <v>0</v>
      </c>
      <c r="W125" s="11">
        <f t="shared" si="25"/>
        <v>0</v>
      </c>
      <c r="X125" s="11">
        <f t="shared" si="26"/>
        <v>0</v>
      </c>
      <c r="Y125" s="11">
        <f t="shared" si="27"/>
        <v>900</v>
      </c>
      <c r="Z125" s="11">
        <f t="shared" si="28"/>
        <v>0</v>
      </c>
      <c r="AA125" s="11">
        <f t="shared" si="29"/>
        <v>0</v>
      </c>
      <c r="AB125" s="11">
        <f t="shared" si="30"/>
        <v>0</v>
      </c>
      <c r="AC125" s="13">
        <f t="shared" si="16"/>
        <v>980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3">
        <f t="shared" si="17"/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3">
        <f t="shared" si="18"/>
        <v>0</v>
      </c>
    </row>
    <row r="126" spans="1:55">
      <c r="A126" s="4" t="s">
        <v>23</v>
      </c>
      <c r="B126" s="4" t="s">
        <v>258</v>
      </c>
      <c r="C126" s="4" t="s">
        <v>259</v>
      </c>
      <c r="D126" s="6">
        <v>0</v>
      </c>
      <c r="E126" s="6">
        <v>0</v>
      </c>
      <c r="F126" s="6">
        <v>0</v>
      </c>
      <c r="G126" s="6">
        <v>0</v>
      </c>
      <c r="H126" s="6">
        <v>300</v>
      </c>
      <c r="I126" s="6">
        <v>0</v>
      </c>
      <c r="J126" s="6">
        <v>0</v>
      </c>
      <c r="K126" s="6">
        <v>0</v>
      </c>
      <c r="L126" s="6">
        <v>100</v>
      </c>
      <c r="M126" s="6">
        <v>0</v>
      </c>
      <c r="N126" s="6">
        <v>0</v>
      </c>
      <c r="O126" s="6">
        <v>0</v>
      </c>
      <c r="P126" s="9">
        <v>400</v>
      </c>
      <c r="Q126" s="11">
        <f t="shared" si="19"/>
        <v>0</v>
      </c>
      <c r="R126" s="11">
        <f t="shared" si="20"/>
        <v>0</v>
      </c>
      <c r="S126" s="11">
        <f t="shared" si="21"/>
        <v>0</v>
      </c>
      <c r="T126" s="11">
        <f t="shared" si="22"/>
        <v>0</v>
      </c>
      <c r="U126" s="11">
        <f t="shared" si="23"/>
        <v>300</v>
      </c>
      <c r="V126" s="11">
        <f t="shared" si="24"/>
        <v>0</v>
      </c>
      <c r="W126" s="11">
        <f t="shared" si="25"/>
        <v>0</v>
      </c>
      <c r="X126" s="11">
        <f t="shared" si="26"/>
        <v>0</v>
      </c>
      <c r="Y126" s="11">
        <f t="shared" si="27"/>
        <v>100</v>
      </c>
      <c r="Z126" s="11">
        <f t="shared" si="28"/>
        <v>0</v>
      </c>
      <c r="AA126" s="11">
        <f t="shared" si="29"/>
        <v>0</v>
      </c>
      <c r="AB126" s="11">
        <f t="shared" si="30"/>
        <v>0</v>
      </c>
      <c r="AC126" s="13">
        <f t="shared" si="16"/>
        <v>400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3">
        <f t="shared" si="17"/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3">
        <f t="shared" si="18"/>
        <v>0</v>
      </c>
    </row>
    <row r="127" spans="1:55">
      <c r="A127" s="4" t="s">
        <v>23</v>
      </c>
      <c r="B127" s="4" t="s">
        <v>260</v>
      </c>
      <c r="C127" s="4" t="s">
        <v>261</v>
      </c>
      <c r="D127" s="6">
        <v>230</v>
      </c>
      <c r="E127" s="6">
        <v>0</v>
      </c>
      <c r="F127" s="6">
        <v>0</v>
      </c>
      <c r="G127" s="6">
        <v>0</v>
      </c>
      <c r="H127" s="6">
        <v>30</v>
      </c>
      <c r="I127" s="6">
        <v>40</v>
      </c>
      <c r="J127" s="6">
        <v>0</v>
      </c>
      <c r="K127" s="6">
        <v>50</v>
      </c>
      <c r="L127" s="6">
        <v>50</v>
      </c>
      <c r="M127" s="6">
        <v>0</v>
      </c>
      <c r="N127" s="6">
        <v>0</v>
      </c>
      <c r="O127" s="6">
        <v>0</v>
      </c>
      <c r="P127" s="9">
        <v>400</v>
      </c>
      <c r="Q127" s="11">
        <f t="shared" si="19"/>
        <v>230</v>
      </c>
      <c r="R127" s="11">
        <f t="shared" si="20"/>
        <v>0</v>
      </c>
      <c r="S127" s="11">
        <f t="shared" si="21"/>
        <v>0</v>
      </c>
      <c r="T127" s="11">
        <f t="shared" si="22"/>
        <v>0</v>
      </c>
      <c r="U127" s="11">
        <f t="shared" si="23"/>
        <v>30</v>
      </c>
      <c r="V127" s="11">
        <f t="shared" si="24"/>
        <v>40</v>
      </c>
      <c r="W127" s="11">
        <f t="shared" si="25"/>
        <v>0</v>
      </c>
      <c r="X127" s="11">
        <f t="shared" si="26"/>
        <v>50</v>
      </c>
      <c r="Y127" s="11">
        <f t="shared" si="27"/>
        <v>50</v>
      </c>
      <c r="Z127" s="11">
        <f t="shared" si="28"/>
        <v>0</v>
      </c>
      <c r="AA127" s="11">
        <f t="shared" si="29"/>
        <v>0</v>
      </c>
      <c r="AB127" s="11">
        <f t="shared" si="30"/>
        <v>0</v>
      </c>
      <c r="AC127" s="13">
        <f t="shared" si="16"/>
        <v>400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3">
        <f t="shared" si="17"/>
        <v>0</v>
      </c>
      <c r="AQ127" s="16">
        <v>0</v>
      </c>
      <c r="AR127" s="16">
        <v>0</v>
      </c>
      <c r="AS127" s="16">
        <v>0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3">
        <f t="shared" si="18"/>
        <v>0</v>
      </c>
    </row>
    <row r="128" spans="1:55">
      <c r="A128" s="4" t="s">
        <v>23</v>
      </c>
      <c r="B128" s="4" t="s">
        <v>262</v>
      </c>
      <c r="C128" s="4" t="s">
        <v>179</v>
      </c>
      <c r="D128" s="6">
        <v>0</v>
      </c>
      <c r="E128" s="6">
        <v>0</v>
      </c>
      <c r="F128" s="6">
        <v>0</v>
      </c>
      <c r="G128" s="6">
        <v>0</v>
      </c>
      <c r="H128" s="6">
        <v>50</v>
      </c>
      <c r="I128" s="6">
        <v>10</v>
      </c>
      <c r="J128" s="6">
        <v>0</v>
      </c>
      <c r="K128" s="6">
        <v>50</v>
      </c>
      <c r="L128" s="6">
        <v>50</v>
      </c>
      <c r="M128" s="6">
        <v>0</v>
      </c>
      <c r="N128" s="6">
        <v>0</v>
      </c>
      <c r="O128" s="6">
        <v>0</v>
      </c>
      <c r="P128" s="9">
        <v>160</v>
      </c>
      <c r="Q128" s="11">
        <f t="shared" si="19"/>
        <v>0</v>
      </c>
      <c r="R128" s="11">
        <f t="shared" si="20"/>
        <v>0</v>
      </c>
      <c r="S128" s="11">
        <f t="shared" si="21"/>
        <v>0</v>
      </c>
      <c r="T128" s="11">
        <f t="shared" si="22"/>
        <v>0</v>
      </c>
      <c r="U128" s="11">
        <f t="shared" si="23"/>
        <v>50</v>
      </c>
      <c r="V128" s="11">
        <f t="shared" si="24"/>
        <v>10</v>
      </c>
      <c r="W128" s="11">
        <f t="shared" si="25"/>
        <v>0</v>
      </c>
      <c r="X128" s="11">
        <f t="shared" si="26"/>
        <v>50</v>
      </c>
      <c r="Y128" s="11">
        <f t="shared" si="27"/>
        <v>50</v>
      </c>
      <c r="Z128" s="11">
        <f t="shared" si="28"/>
        <v>0</v>
      </c>
      <c r="AA128" s="11">
        <f t="shared" si="29"/>
        <v>0</v>
      </c>
      <c r="AB128" s="11">
        <f t="shared" si="30"/>
        <v>0</v>
      </c>
      <c r="AC128" s="13">
        <f t="shared" si="16"/>
        <v>160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3">
        <f t="shared" si="17"/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3">
        <f t="shared" si="18"/>
        <v>0</v>
      </c>
    </row>
    <row r="129" spans="1:55">
      <c r="A129" s="4" t="s">
        <v>23</v>
      </c>
      <c r="B129" s="4" t="s">
        <v>263</v>
      </c>
      <c r="C129" s="4" t="s">
        <v>264</v>
      </c>
      <c r="D129" s="6">
        <v>0</v>
      </c>
      <c r="E129" s="6">
        <v>200</v>
      </c>
      <c r="F129" s="6">
        <v>0</v>
      </c>
      <c r="G129" s="6">
        <v>0</v>
      </c>
      <c r="H129" s="6">
        <v>240</v>
      </c>
      <c r="I129" s="6">
        <v>0</v>
      </c>
      <c r="J129" s="6">
        <v>0</v>
      </c>
      <c r="K129" s="6">
        <v>0</v>
      </c>
      <c r="L129" s="6">
        <v>500</v>
      </c>
      <c r="M129" s="6">
        <v>0</v>
      </c>
      <c r="N129" s="6">
        <v>0</v>
      </c>
      <c r="O129" s="6">
        <v>0</v>
      </c>
      <c r="P129" s="9">
        <v>940</v>
      </c>
      <c r="Q129" s="11">
        <f t="shared" si="19"/>
        <v>0</v>
      </c>
      <c r="R129" s="11">
        <f t="shared" si="20"/>
        <v>200</v>
      </c>
      <c r="S129" s="11">
        <f t="shared" si="21"/>
        <v>0</v>
      </c>
      <c r="T129" s="11">
        <f t="shared" si="22"/>
        <v>0</v>
      </c>
      <c r="U129" s="11">
        <f t="shared" si="23"/>
        <v>240</v>
      </c>
      <c r="V129" s="11">
        <f t="shared" si="24"/>
        <v>0</v>
      </c>
      <c r="W129" s="11">
        <f t="shared" si="25"/>
        <v>0</v>
      </c>
      <c r="X129" s="11">
        <f t="shared" si="26"/>
        <v>0</v>
      </c>
      <c r="Y129" s="11">
        <f t="shared" si="27"/>
        <v>500</v>
      </c>
      <c r="Z129" s="11">
        <f t="shared" si="28"/>
        <v>0</v>
      </c>
      <c r="AA129" s="11">
        <f t="shared" si="29"/>
        <v>0</v>
      </c>
      <c r="AB129" s="11">
        <f t="shared" si="30"/>
        <v>0</v>
      </c>
      <c r="AC129" s="13">
        <f t="shared" si="16"/>
        <v>940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3">
        <f t="shared" si="17"/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3">
        <f t="shared" si="18"/>
        <v>0</v>
      </c>
    </row>
    <row r="130" spans="1:55">
      <c r="A130" s="4" t="s">
        <v>23</v>
      </c>
      <c r="B130" s="4" t="s">
        <v>265</v>
      </c>
      <c r="C130" s="4" t="s">
        <v>234</v>
      </c>
      <c r="D130" s="6">
        <v>0</v>
      </c>
      <c r="E130" s="6">
        <v>0</v>
      </c>
      <c r="F130" s="6">
        <v>0</v>
      </c>
      <c r="G130" s="6">
        <v>280</v>
      </c>
      <c r="H130" s="6">
        <v>1420</v>
      </c>
      <c r="I130" s="6">
        <v>0</v>
      </c>
      <c r="J130" s="6">
        <v>0</v>
      </c>
      <c r="K130" s="6">
        <v>0</v>
      </c>
      <c r="L130" s="6">
        <v>0</v>
      </c>
      <c r="M130" s="6">
        <v>950</v>
      </c>
      <c r="N130" s="6">
        <v>0</v>
      </c>
      <c r="O130" s="6">
        <v>0</v>
      </c>
      <c r="P130" s="9">
        <v>2650</v>
      </c>
      <c r="Q130" s="11">
        <f t="shared" si="19"/>
        <v>0</v>
      </c>
      <c r="R130" s="11">
        <f t="shared" si="20"/>
        <v>0</v>
      </c>
      <c r="S130" s="11">
        <f t="shared" si="21"/>
        <v>0</v>
      </c>
      <c r="T130" s="11">
        <f t="shared" si="22"/>
        <v>280</v>
      </c>
      <c r="U130" s="11">
        <f t="shared" si="23"/>
        <v>1420</v>
      </c>
      <c r="V130" s="11">
        <f t="shared" si="24"/>
        <v>0</v>
      </c>
      <c r="W130" s="11">
        <f t="shared" si="25"/>
        <v>0</v>
      </c>
      <c r="X130" s="11">
        <f t="shared" si="26"/>
        <v>0</v>
      </c>
      <c r="Y130" s="11">
        <f t="shared" si="27"/>
        <v>0</v>
      </c>
      <c r="Z130" s="11">
        <f t="shared" si="28"/>
        <v>950</v>
      </c>
      <c r="AA130" s="11">
        <f t="shared" si="29"/>
        <v>0</v>
      </c>
      <c r="AB130" s="11">
        <f t="shared" si="30"/>
        <v>0</v>
      </c>
      <c r="AC130" s="13">
        <f t="shared" si="16"/>
        <v>2650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3">
        <f t="shared" si="17"/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3">
        <f t="shared" si="18"/>
        <v>0</v>
      </c>
    </row>
    <row r="131" spans="1:55">
      <c r="A131" s="4" t="s">
        <v>23</v>
      </c>
      <c r="B131" s="4" t="s">
        <v>266</v>
      </c>
      <c r="C131" s="4" t="s">
        <v>267</v>
      </c>
      <c r="D131" s="6">
        <v>0</v>
      </c>
      <c r="E131" s="6">
        <v>0</v>
      </c>
      <c r="F131" s="6">
        <v>0</v>
      </c>
      <c r="G131" s="6">
        <v>140</v>
      </c>
      <c r="H131" s="6">
        <v>960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9">
        <v>1100</v>
      </c>
      <c r="Q131" s="11">
        <f t="shared" si="19"/>
        <v>0</v>
      </c>
      <c r="R131" s="11">
        <f t="shared" si="20"/>
        <v>0</v>
      </c>
      <c r="S131" s="11">
        <f t="shared" si="21"/>
        <v>0</v>
      </c>
      <c r="T131" s="11">
        <f t="shared" si="22"/>
        <v>140</v>
      </c>
      <c r="U131" s="11">
        <f t="shared" si="23"/>
        <v>960</v>
      </c>
      <c r="V131" s="11">
        <f t="shared" si="24"/>
        <v>0</v>
      </c>
      <c r="W131" s="11">
        <f t="shared" si="25"/>
        <v>0</v>
      </c>
      <c r="X131" s="11">
        <f t="shared" si="26"/>
        <v>0</v>
      </c>
      <c r="Y131" s="11">
        <f t="shared" si="27"/>
        <v>0</v>
      </c>
      <c r="Z131" s="11">
        <f t="shared" si="28"/>
        <v>0</v>
      </c>
      <c r="AA131" s="11">
        <f t="shared" si="29"/>
        <v>0</v>
      </c>
      <c r="AB131" s="11">
        <f t="shared" si="30"/>
        <v>0</v>
      </c>
      <c r="AC131" s="13">
        <f t="shared" ref="AC131:AC194" si="31">SUM(Q131:AB131)</f>
        <v>1100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3">
        <f t="shared" ref="AP131:AP194" si="32">SUM(AD131:AO131)</f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0</v>
      </c>
      <c r="AX131" s="16">
        <v>0</v>
      </c>
      <c r="AY131" s="16">
        <v>0</v>
      </c>
      <c r="AZ131" s="16">
        <v>0</v>
      </c>
      <c r="BA131" s="16">
        <v>0</v>
      </c>
      <c r="BB131" s="16">
        <v>0</v>
      </c>
      <c r="BC131" s="13">
        <f t="shared" ref="BC131:BC194" si="33">SUM(AQ131:BB131)</f>
        <v>0</v>
      </c>
    </row>
    <row r="132" spans="1:55">
      <c r="A132" s="4" t="s">
        <v>23</v>
      </c>
      <c r="B132" s="4" t="s">
        <v>268</v>
      </c>
      <c r="C132" s="4" t="s">
        <v>269</v>
      </c>
      <c r="D132" s="6">
        <v>15946.0224</v>
      </c>
      <c r="E132" s="6">
        <v>4119.633408</v>
      </c>
      <c r="F132" s="6">
        <v>1598.871296</v>
      </c>
      <c r="G132" s="6">
        <v>1504.36352</v>
      </c>
      <c r="H132" s="6">
        <v>3784.002816</v>
      </c>
      <c r="I132" s="6">
        <v>3601.57952</v>
      </c>
      <c r="J132" s="6">
        <v>6458.850816</v>
      </c>
      <c r="K132" s="6">
        <v>6358.178816</v>
      </c>
      <c r="L132" s="6">
        <v>5498.2425096</v>
      </c>
      <c r="M132" s="6">
        <v>8833.2214566</v>
      </c>
      <c r="N132" s="6">
        <v>7009.9943752</v>
      </c>
      <c r="O132" s="6">
        <v>7009.9943752</v>
      </c>
      <c r="P132" s="9">
        <v>71722.9553086</v>
      </c>
      <c r="Q132" s="11">
        <f t="shared" ref="Q132:Q195" si="34">+D132-AD132-AQ132</f>
        <v>0</v>
      </c>
      <c r="R132" s="11">
        <f t="shared" ref="R132:R195" si="35">+E132-AE132-AR132</f>
        <v>0</v>
      </c>
      <c r="S132" s="11">
        <f t="shared" ref="S132:S195" si="36">+F132-AF132-AS132</f>
        <v>0</v>
      </c>
      <c r="T132" s="11">
        <f t="shared" ref="T132:T195" si="37">+G132-AG132-AT132</f>
        <v>0</v>
      </c>
      <c r="U132" s="11">
        <f t="shared" ref="U132:U195" si="38">+H132-AH132-AU132</f>
        <v>0</v>
      </c>
      <c r="V132" s="11">
        <f t="shared" ref="V132:V195" si="39">+I132-AI132-AV132</f>
        <v>0</v>
      </c>
      <c r="W132" s="11">
        <f t="shared" ref="W132:W195" si="40">+J132-AJ132-AW132</f>
        <v>0</v>
      </c>
      <c r="X132" s="11">
        <f t="shared" ref="X132:X195" si="41">+K132-AK132-AX132</f>
        <v>0</v>
      </c>
      <c r="Y132" s="11">
        <f t="shared" ref="Y132:Y195" si="42">+L132-AL132-AY132</f>
        <v>0</v>
      </c>
      <c r="Z132" s="11">
        <f t="shared" ref="Z132:Z195" si="43">+M132-AM132-AZ132</f>
        <v>0</v>
      </c>
      <c r="AA132" s="11">
        <f t="shared" ref="AA132:AA195" si="44">+N132-AN132-BA132</f>
        <v>0</v>
      </c>
      <c r="AB132" s="11">
        <f t="shared" ref="AB132:AB195" si="45">+O132-AO132-BB132</f>
        <v>0</v>
      </c>
      <c r="AC132" s="13">
        <f t="shared" si="31"/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3">
        <f t="shared" si="32"/>
        <v>0</v>
      </c>
      <c r="AQ132" s="16">
        <v>15946.0224</v>
      </c>
      <c r="AR132" s="16">
        <v>4119.633408</v>
      </c>
      <c r="AS132" s="16">
        <v>1598.871296</v>
      </c>
      <c r="AT132" s="16">
        <v>1504.36352</v>
      </c>
      <c r="AU132" s="16">
        <v>3784.002816</v>
      </c>
      <c r="AV132" s="16">
        <v>3601.57952</v>
      </c>
      <c r="AW132" s="16">
        <v>6458.850816</v>
      </c>
      <c r="AX132" s="16">
        <v>6358.178816</v>
      </c>
      <c r="AY132" s="16">
        <v>5498.2425096</v>
      </c>
      <c r="AZ132" s="16">
        <v>8833.2214566</v>
      </c>
      <c r="BA132" s="16">
        <v>7009.9943752</v>
      </c>
      <c r="BB132" s="16">
        <v>7009.9943752</v>
      </c>
      <c r="BC132" s="13">
        <f t="shared" si="33"/>
        <v>71722.9553086</v>
      </c>
    </row>
    <row r="133" spans="1:55">
      <c r="A133" s="4" t="s">
        <v>23</v>
      </c>
      <c r="B133" s="4" t="s">
        <v>270</v>
      </c>
      <c r="C133" s="4" t="s">
        <v>271</v>
      </c>
      <c r="D133" s="6">
        <v>2680</v>
      </c>
      <c r="E133" s="6">
        <v>600</v>
      </c>
      <c r="F133" s="6">
        <v>700</v>
      </c>
      <c r="G133" s="6">
        <v>0</v>
      </c>
      <c r="H133" s="6">
        <v>0</v>
      </c>
      <c r="I133" s="6">
        <v>0</v>
      </c>
      <c r="J133" s="6">
        <v>3280</v>
      </c>
      <c r="K133" s="6">
        <v>0</v>
      </c>
      <c r="L133" s="6">
        <v>0</v>
      </c>
      <c r="M133" s="6">
        <v>0</v>
      </c>
      <c r="N133" s="6">
        <v>0</v>
      </c>
      <c r="O133" s="6">
        <v>3000</v>
      </c>
      <c r="P133" s="9">
        <v>10260</v>
      </c>
      <c r="Q133" s="11">
        <f t="shared" si="34"/>
        <v>2680</v>
      </c>
      <c r="R133" s="11">
        <f t="shared" si="35"/>
        <v>600</v>
      </c>
      <c r="S133" s="11">
        <f t="shared" si="36"/>
        <v>700</v>
      </c>
      <c r="T133" s="11">
        <f t="shared" si="37"/>
        <v>0</v>
      </c>
      <c r="U133" s="11">
        <f t="shared" si="38"/>
        <v>0</v>
      </c>
      <c r="V133" s="11">
        <f t="shared" si="39"/>
        <v>0</v>
      </c>
      <c r="W133" s="11">
        <f t="shared" si="40"/>
        <v>3280</v>
      </c>
      <c r="X133" s="11">
        <f t="shared" si="41"/>
        <v>0</v>
      </c>
      <c r="Y133" s="11">
        <f t="shared" si="42"/>
        <v>0</v>
      </c>
      <c r="Z133" s="11">
        <f t="shared" si="43"/>
        <v>0</v>
      </c>
      <c r="AA133" s="11">
        <f t="shared" si="44"/>
        <v>0</v>
      </c>
      <c r="AB133" s="11">
        <f t="shared" si="45"/>
        <v>3000</v>
      </c>
      <c r="AC133" s="13">
        <f t="shared" si="31"/>
        <v>10260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3">
        <f t="shared" si="32"/>
        <v>0</v>
      </c>
      <c r="AQ133" s="16">
        <v>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3">
        <f t="shared" si="33"/>
        <v>0</v>
      </c>
    </row>
    <row r="134" spans="1:55">
      <c r="A134" s="4" t="s">
        <v>23</v>
      </c>
      <c r="B134" s="4" t="s">
        <v>272</v>
      </c>
      <c r="C134" s="4" t="s">
        <v>273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1370</v>
      </c>
      <c r="J134" s="6">
        <v>1170</v>
      </c>
      <c r="K134" s="6">
        <v>2610</v>
      </c>
      <c r="L134" s="6">
        <v>0</v>
      </c>
      <c r="M134" s="6">
        <v>0</v>
      </c>
      <c r="N134" s="6">
        <v>0</v>
      </c>
      <c r="O134" s="6">
        <v>0</v>
      </c>
      <c r="P134" s="9">
        <v>5150</v>
      </c>
      <c r="Q134" s="11">
        <f t="shared" si="34"/>
        <v>0</v>
      </c>
      <c r="R134" s="11">
        <f t="shared" si="35"/>
        <v>0</v>
      </c>
      <c r="S134" s="11">
        <f t="shared" si="36"/>
        <v>0</v>
      </c>
      <c r="T134" s="11">
        <f t="shared" si="37"/>
        <v>0</v>
      </c>
      <c r="U134" s="11">
        <f t="shared" si="38"/>
        <v>0</v>
      </c>
      <c r="V134" s="11">
        <f t="shared" si="39"/>
        <v>1370</v>
      </c>
      <c r="W134" s="11">
        <f t="shared" si="40"/>
        <v>1170</v>
      </c>
      <c r="X134" s="11">
        <f t="shared" si="41"/>
        <v>2610</v>
      </c>
      <c r="Y134" s="11">
        <f t="shared" si="42"/>
        <v>0</v>
      </c>
      <c r="Z134" s="11">
        <f t="shared" si="43"/>
        <v>0</v>
      </c>
      <c r="AA134" s="11">
        <f t="shared" si="44"/>
        <v>0</v>
      </c>
      <c r="AB134" s="11">
        <f t="shared" si="45"/>
        <v>0</v>
      </c>
      <c r="AC134" s="13">
        <f t="shared" si="31"/>
        <v>5150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3">
        <f t="shared" si="32"/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3">
        <f t="shared" si="33"/>
        <v>0</v>
      </c>
    </row>
    <row r="135" spans="1:55">
      <c r="A135" s="4" t="s">
        <v>23</v>
      </c>
      <c r="B135" s="4" t="s">
        <v>274</v>
      </c>
      <c r="C135" s="4" t="s">
        <v>275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3000</v>
      </c>
      <c r="J135" s="6">
        <v>0</v>
      </c>
      <c r="K135" s="6">
        <v>0</v>
      </c>
      <c r="L135" s="6">
        <v>6000</v>
      </c>
      <c r="M135" s="6">
        <v>0</v>
      </c>
      <c r="N135" s="6">
        <v>6000</v>
      </c>
      <c r="O135" s="6">
        <v>0</v>
      </c>
      <c r="P135" s="9">
        <v>15000</v>
      </c>
      <c r="Q135" s="11">
        <f t="shared" si="34"/>
        <v>0</v>
      </c>
      <c r="R135" s="11">
        <f t="shared" si="35"/>
        <v>0</v>
      </c>
      <c r="S135" s="11">
        <f t="shared" si="36"/>
        <v>0</v>
      </c>
      <c r="T135" s="11">
        <f t="shared" si="37"/>
        <v>0</v>
      </c>
      <c r="U135" s="11">
        <f t="shared" si="38"/>
        <v>0</v>
      </c>
      <c r="V135" s="11">
        <f t="shared" si="39"/>
        <v>3000</v>
      </c>
      <c r="W135" s="11">
        <f t="shared" si="40"/>
        <v>0</v>
      </c>
      <c r="X135" s="11">
        <f t="shared" si="41"/>
        <v>0</v>
      </c>
      <c r="Y135" s="11">
        <f t="shared" si="42"/>
        <v>6000</v>
      </c>
      <c r="Z135" s="11">
        <f t="shared" si="43"/>
        <v>0</v>
      </c>
      <c r="AA135" s="11">
        <f t="shared" si="44"/>
        <v>6000</v>
      </c>
      <c r="AB135" s="11">
        <f t="shared" si="45"/>
        <v>0</v>
      </c>
      <c r="AC135" s="13">
        <f t="shared" si="31"/>
        <v>15000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3">
        <f t="shared" si="32"/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3">
        <f t="shared" si="33"/>
        <v>0</v>
      </c>
    </row>
    <row r="136" spans="1:55">
      <c r="A136" s="4" t="s">
        <v>23</v>
      </c>
      <c r="B136" s="4" t="s">
        <v>276</v>
      </c>
      <c r="C136" s="4" t="s">
        <v>277</v>
      </c>
      <c r="D136" s="6">
        <v>22405.087824</v>
      </c>
      <c r="E136" s="6">
        <v>18987.599856</v>
      </c>
      <c r="F136" s="6">
        <v>16211.848944</v>
      </c>
      <c r="G136" s="6">
        <v>24918.9722784</v>
      </c>
      <c r="H136" s="6">
        <v>24045.882155</v>
      </c>
      <c r="I136" s="6">
        <v>21858.0576474</v>
      </c>
      <c r="J136" s="6">
        <v>23188.8751488</v>
      </c>
      <c r="K136" s="6">
        <v>26675.9985564</v>
      </c>
      <c r="L136" s="6">
        <v>20006.5499205</v>
      </c>
      <c r="M136" s="6">
        <v>35741.5183549</v>
      </c>
      <c r="N136" s="6">
        <v>25716.073613</v>
      </c>
      <c r="O136" s="6">
        <v>27580.7131233</v>
      </c>
      <c r="P136" s="9">
        <v>287337.1774217</v>
      </c>
      <c r="Q136" s="11">
        <f t="shared" si="34"/>
        <v>0</v>
      </c>
      <c r="R136" s="11">
        <f t="shared" si="35"/>
        <v>0</v>
      </c>
      <c r="S136" s="11">
        <f t="shared" si="36"/>
        <v>0</v>
      </c>
      <c r="T136" s="11">
        <f t="shared" si="37"/>
        <v>0</v>
      </c>
      <c r="U136" s="11">
        <f t="shared" si="38"/>
        <v>0</v>
      </c>
      <c r="V136" s="11">
        <f t="shared" si="39"/>
        <v>0</v>
      </c>
      <c r="W136" s="11">
        <f t="shared" si="40"/>
        <v>0</v>
      </c>
      <c r="X136" s="11">
        <f t="shared" si="41"/>
        <v>0</v>
      </c>
      <c r="Y136" s="11">
        <f t="shared" si="42"/>
        <v>0</v>
      </c>
      <c r="Z136" s="11">
        <f t="shared" si="43"/>
        <v>0</v>
      </c>
      <c r="AA136" s="11">
        <f t="shared" si="44"/>
        <v>0</v>
      </c>
      <c r="AB136" s="11">
        <f t="shared" si="45"/>
        <v>0</v>
      </c>
      <c r="AC136" s="13">
        <f t="shared" si="31"/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3">
        <f t="shared" si="32"/>
        <v>0</v>
      </c>
      <c r="AQ136" s="16">
        <v>22405.087824</v>
      </c>
      <c r="AR136" s="16">
        <v>18987.599856</v>
      </c>
      <c r="AS136" s="16">
        <v>16211.848944</v>
      </c>
      <c r="AT136" s="16">
        <v>24918.9722784</v>
      </c>
      <c r="AU136" s="16">
        <v>24045.882155</v>
      </c>
      <c r="AV136" s="16">
        <v>21858.0576474</v>
      </c>
      <c r="AW136" s="16">
        <v>23188.8751488</v>
      </c>
      <c r="AX136" s="16">
        <v>26675.9985564</v>
      </c>
      <c r="AY136" s="16">
        <v>20006.5499205</v>
      </c>
      <c r="AZ136" s="16">
        <v>35741.5183549</v>
      </c>
      <c r="BA136" s="16">
        <v>25716.073613</v>
      </c>
      <c r="BB136" s="16">
        <v>27580.7131233</v>
      </c>
      <c r="BC136" s="13">
        <f t="shared" si="33"/>
        <v>287337.1774217</v>
      </c>
    </row>
    <row r="137" spans="1:55">
      <c r="A137" s="4" t="s">
        <v>23</v>
      </c>
      <c r="B137" s="4" t="s">
        <v>278</v>
      </c>
      <c r="C137" s="4" t="s">
        <v>279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4350</v>
      </c>
      <c r="K137" s="6">
        <v>5690</v>
      </c>
      <c r="L137" s="6">
        <v>0</v>
      </c>
      <c r="M137" s="6">
        <v>10000</v>
      </c>
      <c r="N137" s="6">
        <v>0</v>
      </c>
      <c r="O137" s="6">
        <v>0</v>
      </c>
      <c r="P137" s="9">
        <v>20040</v>
      </c>
      <c r="Q137" s="11">
        <f t="shared" si="34"/>
        <v>0</v>
      </c>
      <c r="R137" s="11">
        <f t="shared" si="35"/>
        <v>0</v>
      </c>
      <c r="S137" s="11">
        <f t="shared" si="36"/>
        <v>0</v>
      </c>
      <c r="T137" s="11">
        <f t="shared" si="37"/>
        <v>0</v>
      </c>
      <c r="U137" s="11">
        <f t="shared" si="38"/>
        <v>0</v>
      </c>
      <c r="V137" s="11">
        <f t="shared" si="39"/>
        <v>0</v>
      </c>
      <c r="W137" s="11">
        <f t="shared" si="40"/>
        <v>4350</v>
      </c>
      <c r="X137" s="11">
        <f t="shared" si="41"/>
        <v>5690</v>
      </c>
      <c r="Y137" s="11">
        <f t="shared" si="42"/>
        <v>0</v>
      </c>
      <c r="Z137" s="11">
        <f t="shared" si="43"/>
        <v>10000</v>
      </c>
      <c r="AA137" s="11">
        <f t="shared" si="44"/>
        <v>0</v>
      </c>
      <c r="AB137" s="11">
        <f t="shared" si="45"/>
        <v>0</v>
      </c>
      <c r="AC137" s="13">
        <f t="shared" si="31"/>
        <v>20040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3">
        <f t="shared" si="32"/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  <c r="BC137" s="13">
        <f t="shared" si="33"/>
        <v>0</v>
      </c>
    </row>
    <row r="138" spans="1:55">
      <c r="A138" s="4" t="s">
        <v>23</v>
      </c>
      <c r="B138" s="4" t="s">
        <v>280</v>
      </c>
      <c r="C138" s="4" t="s">
        <v>281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950</v>
      </c>
      <c r="N138" s="6">
        <v>0</v>
      </c>
      <c r="O138" s="6">
        <v>0</v>
      </c>
      <c r="P138" s="9">
        <v>950</v>
      </c>
      <c r="Q138" s="11">
        <f t="shared" si="34"/>
        <v>0</v>
      </c>
      <c r="R138" s="11">
        <f t="shared" si="35"/>
        <v>0</v>
      </c>
      <c r="S138" s="11">
        <f t="shared" si="36"/>
        <v>0</v>
      </c>
      <c r="T138" s="11">
        <f t="shared" si="37"/>
        <v>0</v>
      </c>
      <c r="U138" s="11">
        <f t="shared" si="38"/>
        <v>0</v>
      </c>
      <c r="V138" s="11">
        <f t="shared" si="39"/>
        <v>0</v>
      </c>
      <c r="W138" s="11">
        <f t="shared" si="40"/>
        <v>0</v>
      </c>
      <c r="X138" s="11">
        <f t="shared" si="41"/>
        <v>0</v>
      </c>
      <c r="Y138" s="11">
        <f t="shared" si="42"/>
        <v>0</v>
      </c>
      <c r="Z138" s="11">
        <f t="shared" si="43"/>
        <v>950</v>
      </c>
      <c r="AA138" s="11">
        <f t="shared" si="44"/>
        <v>0</v>
      </c>
      <c r="AB138" s="11">
        <f t="shared" si="45"/>
        <v>0</v>
      </c>
      <c r="AC138" s="13">
        <f t="shared" si="31"/>
        <v>950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  <c r="AP138" s="13">
        <f t="shared" si="32"/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3">
        <f t="shared" si="33"/>
        <v>0</v>
      </c>
    </row>
    <row r="139" spans="1:55">
      <c r="A139" s="4" t="s">
        <v>23</v>
      </c>
      <c r="B139" s="4" t="s">
        <v>282</v>
      </c>
      <c r="C139" s="4" t="s">
        <v>283</v>
      </c>
      <c r="D139" s="6">
        <v>0</v>
      </c>
      <c r="E139" s="6">
        <v>3000</v>
      </c>
      <c r="F139" s="6">
        <v>0</v>
      </c>
      <c r="G139" s="6">
        <v>0</v>
      </c>
      <c r="H139" s="6">
        <v>0</v>
      </c>
      <c r="I139" s="6">
        <v>3000</v>
      </c>
      <c r="J139" s="6">
        <v>0</v>
      </c>
      <c r="K139" s="6">
        <v>0</v>
      </c>
      <c r="L139" s="6">
        <v>0</v>
      </c>
      <c r="M139" s="6">
        <v>3000</v>
      </c>
      <c r="N139" s="6">
        <v>6000</v>
      </c>
      <c r="O139" s="6">
        <v>0</v>
      </c>
      <c r="P139" s="9">
        <v>15000</v>
      </c>
      <c r="Q139" s="11">
        <f t="shared" si="34"/>
        <v>0</v>
      </c>
      <c r="R139" s="11">
        <f t="shared" si="35"/>
        <v>3000</v>
      </c>
      <c r="S139" s="11">
        <f t="shared" si="36"/>
        <v>0</v>
      </c>
      <c r="T139" s="11">
        <f t="shared" si="37"/>
        <v>0</v>
      </c>
      <c r="U139" s="11">
        <f t="shared" si="38"/>
        <v>0</v>
      </c>
      <c r="V139" s="11">
        <f t="shared" si="39"/>
        <v>3000</v>
      </c>
      <c r="W139" s="11">
        <f t="shared" si="40"/>
        <v>0</v>
      </c>
      <c r="X139" s="11">
        <f t="shared" si="41"/>
        <v>0</v>
      </c>
      <c r="Y139" s="11">
        <f t="shared" si="42"/>
        <v>0</v>
      </c>
      <c r="Z139" s="11">
        <f t="shared" si="43"/>
        <v>3000</v>
      </c>
      <c r="AA139" s="11">
        <f t="shared" si="44"/>
        <v>6000</v>
      </c>
      <c r="AB139" s="11">
        <f t="shared" si="45"/>
        <v>0</v>
      </c>
      <c r="AC139" s="13">
        <f t="shared" si="31"/>
        <v>15000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3">
        <f t="shared" si="32"/>
        <v>0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3">
        <f t="shared" si="33"/>
        <v>0</v>
      </c>
    </row>
    <row r="140" spans="1:55">
      <c r="A140" s="4" t="s">
        <v>23</v>
      </c>
      <c r="B140" s="4" t="s">
        <v>284</v>
      </c>
      <c r="C140" s="4" t="s">
        <v>285</v>
      </c>
      <c r="D140" s="6">
        <v>0</v>
      </c>
      <c r="E140" s="6">
        <v>3000</v>
      </c>
      <c r="F140" s="6">
        <v>0</v>
      </c>
      <c r="G140" s="6">
        <v>0</v>
      </c>
      <c r="H140" s="6">
        <v>0</v>
      </c>
      <c r="I140" s="6">
        <v>3000</v>
      </c>
      <c r="J140" s="6">
        <v>0</v>
      </c>
      <c r="K140" s="6">
        <v>0</v>
      </c>
      <c r="L140" s="6">
        <v>0</v>
      </c>
      <c r="M140" s="6">
        <v>3000</v>
      </c>
      <c r="N140" s="6">
        <v>6000</v>
      </c>
      <c r="O140" s="6">
        <v>0</v>
      </c>
      <c r="P140" s="9">
        <v>15000</v>
      </c>
      <c r="Q140" s="11">
        <f t="shared" si="34"/>
        <v>0</v>
      </c>
      <c r="R140" s="11">
        <f t="shared" si="35"/>
        <v>3000</v>
      </c>
      <c r="S140" s="11">
        <f t="shared" si="36"/>
        <v>0</v>
      </c>
      <c r="T140" s="11">
        <f t="shared" si="37"/>
        <v>0</v>
      </c>
      <c r="U140" s="11">
        <f t="shared" si="38"/>
        <v>0</v>
      </c>
      <c r="V140" s="11">
        <f t="shared" si="39"/>
        <v>3000</v>
      </c>
      <c r="W140" s="11">
        <f t="shared" si="40"/>
        <v>0</v>
      </c>
      <c r="X140" s="11">
        <f t="shared" si="41"/>
        <v>0</v>
      </c>
      <c r="Y140" s="11">
        <f t="shared" si="42"/>
        <v>0</v>
      </c>
      <c r="Z140" s="11">
        <f t="shared" si="43"/>
        <v>3000</v>
      </c>
      <c r="AA140" s="11">
        <f t="shared" si="44"/>
        <v>6000</v>
      </c>
      <c r="AB140" s="11">
        <f t="shared" si="45"/>
        <v>0</v>
      </c>
      <c r="AC140" s="13">
        <f t="shared" si="31"/>
        <v>15000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3">
        <f t="shared" si="32"/>
        <v>0</v>
      </c>
      <c r="AQ140" s="16">
        <v>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3">
        <f t="shared" si="33"/>
        <v>0</v>
      </c>
    </row>
    <row r="141" spans="1:55">
      <c r="A141" s="4" t="s">
        <v>23</v>
      </c>
      <c r="B141" s="4" t="s">
        <v>286</v>
      </c>
      <c r="C141" s="4" t="s">
        <v>287</v>
      </c>
      <c r="D141" s="6">
        <v>15191.592192</v>
      </c>
      <c r="E141" s="6">
        <v>15369.566208</v>
      </c>
      <c r="F141" s="6">
        <v>19451.53536</v>
      </c>
      <c r="G141" s="6">
        <v>23068.311552</v>
      </c>
      <c r="H141" s="6">
        <v>16764.828672</v>
      </c>
      <c r="I141" s="6">
        <v>13513.893888</v>
      </c>
      <c r="J141" s="6">
        <v>18950.498304</v>
      </c>
      <c r="K141" s="6">
        <v>15183.771648</v>
      </c>
      <c r="L141" s="6">
        <v>15956.3552249</v>
      </c>
      <c r="M141" s="6">
        <v>25634.7403913</v>
      </c>
      <c r="N141" s="6">
        <v>20343.584369</v>
      </c>
      <c r="O141" s="6">
        <v>20343.584369</v>
      </c>
      <c r="P141" s="9">
        <v>219772.2621782</v>
      </c>
      <c r="Q141" s="11">
        <f t="shared" si="34"/>
        <v>0</v>
      </c>
      <c r="R141" s="11">
        <f t="shared" si="35"/>
        <v>0</v>
      </c>
      <c r="S141" s="11">
        <f t="shared" si="36"/>
        <v>0</v>
      </c>
      <c r="T141" s="11">
        <f t="shared" si="37"/>
        <v>0</v>
      </c>
      <c r="U141" s="11">
        <f t="shared" si="38"/>
        <v>0</v>
      </c>
      <c r="V141" s="11">
        <f t="shared" si="39"/>
        <v>0</v>
      </c>
      <c r="W141" s="11">
        <f t="shared" si="40"/>
        <v>0</v>
      </c>
      <c r="X141" s="11">
        <f t="shared" si="41"/>
        <v>0</v>
      </c>
      <c r="Y141" s="11">
        <f t="shared" si="42"/>
        <v>0</v>
      </c>
      <c r="Z141" s="11">
        <f t="shared" si="43"/>
        <v>0</v>
      </c>
      <c r="AA141" s="11">
        <f t="shared" si="44"/>
        <v>0</v>
      </c>
      <c r="AB141" s="11">
        <f t="shared" si="45"/>
        <v>0</v>
      </c>
      <c r="AC141" s="13">
        <f t="shared" si="31"/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3">
        <f t="shared" si="32"/>
        <v>0</v>
      </c>
      <c r="AQ141" s="16">
        <v>15191.592192</v>
      </c>
      <c r="AR141" s="16">
        <v>15369.566208</v>
      </c>
      <c r="AS141" s="16">
        <v>19451.53536</v>
      </c>
      <c r="AT141" s="16">
        <v>23068.311552</v>
      </c>
      <c r="AU141" s="16">
        <v>16764.828672</v>
      </c>
      <c r="AV141" s="16">
        <v>13513.893888</v>
      </c>
      <c r="AW141" s="16">
        <v>18950.498304</v>
      </c>
      <c r="AX141" s="16">
        <v>15183.771648</v>
      </c>
      <c r="AY141" s="16">
        <v>15956.3552249</v>
      </c>
      <c r="AZ141" s="16">
        <v>25634.7403913</v>
      </c>
      <c r="BA141" s="16">
        <v>20343.584369</v>
      </c>
      <c r="BB141" s="16">
        <v>20343.584369</v>
      </c>
      <c r="BC141" s="13">
        <f t="shared" si="33"/>
        <v>219772.2621782</v>
      </c>
    </row>
    <row r="142" spans="1:55">
      <c r="A142" s="4" t="s">
        <v>23</v>
      </c>
      <c r="B142" s="4" t="s">
        <v>288</v>
      </c>
      <c r="C142" s="4" t="s">
        <v>289</v>
      </c>
      <c r="D142" s="6">
        <v>29704.059504</v>
      </c>
      <c r="E142" s="6">
        <v>26285.85792</v>
      </c>
      <c r="F142" s="6">
        <v>36904.80024</v>
      </c>
      <c r="G142" s="6">
        <v>34027.20972</v>
      </c>
      <c r="H142" s="6">
        <v>21749.64624</v>
      </c>
      <c r="I142" s="6">
        <v>21198.8196</v>
      </c>
      <c r="J142" s="6">
        <v>31729.12092</v>
      </c>
      <c r="K142" s="6">
        <v>24389.2782</v>
      </c>
      <c r="L142" s="6">
        <v>25891.8897913</v>
      </c>
      <c r="M142" s="6">
        <v>41596.7095043</v>
      </c>
      <c r="N142" s="6">
        <v>33010.912393</v>
      </c>
      <c r="O142" s="6">
        <v>33010.912393</v>
      </c>
      <c r="P142" s="9">
        <v>359499.2164256</v>
      </c>
      <c r="Q142" s="11">
        <f t="shared" si="34"/>
        <v>0</v>
      </c>
      <c r="R142" s="11">
        <f t="shared" si="35"/>
        <v>0</v>
      </c>
      <c r="S142" s="11">
        <f t="shared" si="36"/>
        <v>0</v>
      </c>
      <c r="T142" s="11">
        <f t="shared" si="37"/>
        <v>0</v>
      </c>
      <c r="U142" s="11">
        <f t="shared" si="38"/>
        <v>0</v>
      </c>
      <c r="V142" s="11">
        <f t="shared" si="39"/>
        <v>0</v>
      </c>
      <c r="W142" s="11">
        <f t="shared" si="40"/>
        <v>0</v>
      </c>
      <c r="X142" s="11">
        <f t="shared" si="41"/>
        <v>0</v>
      </c>
      <c r="Y142" s="11">
        <f t="shared" si="42"/>
        <v>0</v>
      </c>
      <c r="Z142" s="11">
        <f t="shared" si="43"/>
        <v>0</v>
      </c>
      <c r="AA142" s="11">
        <f t="shared" si="44"/>
        <v>0</v>
      </c>
      <c r="AB142" s="11">
        <f t="shared" si="45"/>
        <v>0</v>
      </c>
      <c r="AC142" s="13">
        <f t="shared" si="31"/>
        <v>0</v>
      </c>
      <c r="AD142" s="15">
        <v>29704.059504</v>
      </c>
      <c r="AE142" s="15">
        <v>26285.85792</v>
      </c>
      <c r="AF142" s="15">
        <v>36904.80024</v>
      </c>
      <c r="AG142" s="15">
        <v>34027.20972</v>
      </c>
      <c r="AH142" s="15">
        <v>21749.64624</v>
      </c>
      <c r="AI142" s="15">
        <v>21198.8196</v>
      </c>
      <c r="AJ142" s="15">
        <v>31729.12092</v>
      </c>
      <c r="AK142" s="15">
        <v>24389.2782</v>
      </c>
      <c r="AL142" s="15">
        <v>25891.8897913</v>
      </c>
      <c r="AM142" s="15">
        <v>41596.7095043</v>
      </c>
      <c r="AN142" s="15">
        <v>33010.912393</v>
      </c>
      <c r="AO142" s="15">
        <v>33010.912393</v>
      </c>
      <c r="AP142" s="13">
        <f t="shared" si="32"/>
        <v>359499.2164256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3">
        <f t="shared" si="33"/>
        <v>0</v>
      </c>
    </row>
    <row r="143" spans="1:55">
      <c r="A143" s="4" t="s">
        <v>23</v>
      </c>
      <c r="B143" s="4" t="s">
        <v>290</v>
      </c>
      <c r="C143" s="4" t="s">
        <v>291</v>
      </c>
      <c r="D143" s="6">
        <v>24485.6396</v>
      </c>
      <c r="E143" s="6">
        <v>21675.7988</v>
      </c>
      <c r="F143" s="6">
        <v>17236.4132</v>
      </c>
      <c r="G143" s="6">
        <v>21348.8632</v>
      </c>
      <c r="H143" s="6">
        <v>25094.7433742</v>
      </c>
      <c r="I143" s="6">
        <v>24082.074</v>
      </c>
      <c r="J143" s="6">
        <v>32515.806</v>
      </c>
      <c r="K143" s="6">
        <v>34039.3034844</v>
      </c>
      <c r="L143" s="6">
        <v>27462.1851495</v>
      </c>
      <c r="M143" s="6">
        <v>31312.1051936</v>
      </c>
      <c r="N143" s="6">
        <v>23932.3435303</v>
      </c>
      <c r="O143" s="6">
        <v>26347.704531</v>
      </c>
      <c r="P143" s="9">
        <v>309532.980063</v>
      </c>
      <c r="Q143" s="11">
        <f t="shared" si="34"/>
        <v>0</v>
      </c>
      <c r="R143" s="11">
        <f t="shared" si="35"/>
        <v>0</v>
      </c>
      <c r="S143" s="11">
        <f t="shared" si="36"/>
        <v>0</v>
      </c>
      <c r="T143" s="11">
        <f t="shared" si="37"/>
        <v>0</v>
      </c>
      <c r="U143" s="11">
        <f t="shared" si="38"/>
        <v>0</v>
      </c>
      <c r="V143" s="11">
        <f t="shared" si="39"/>
        <v>0</v>
      </c>
      <c r="W143" s="11">
        <f t="shared" si="40"/>
        <v>0</v>
      </c>
      <c r="X143" s="11">
        <f t="shared" si="41"/>
        <v>0</v>
      </c>
      <c r="Y143" s="11">
        <f t="shared" si="42"/>
        <v>0</v>
      </c>
      <c r="Z143" s="11">
        <f t="shared" si="43"/>
        <v>0</v>
      </c>
      <c r="AA143" s="11">
        <f t="shared" si="44"/>
        <v>0</v>
      </c>
      <c r="AB143" s="11">
        <f t="shared" si="45"/>
        <v>0</v>
      </c>
      <c r="AC143" s="13">
        <f t="shared" si="31"/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3">
        <f t="shared" si="32"/>
        <v>0</v>
      </c>
      <c r="AQ143" s="16">
        <v>24485.6396</v>
      </c>
      <c r="AR143" s="16">
        <v>21675.7988</v>
      </c>
      <c r="AS143" s="16">
        <v>17236.4132</v>
      </c>
      <c r="AT143" s="16">
        <v>21348.8632</v>
      </c>
      <c r="AU143" s="16">
        <v>25094.7433742</v>
      </c>
      <c r="AV143" s="16">
        <v>24082.074</v>
      </c>
      <c r="AW143" s="16">
        <v>32515.806</v>
      </c>
      <c r="AX143" s="16">
        <v>34039.3034844</v>
      </c>
      <c r="AY143" s="16">
        <v>27462.1851495</v>
      </c>
      <c r="AZ143" s="16">
        <v>31312.1051936</v>
      </c>
      <c r="BA143" s="16">
        <v>23932.3435303</v>
      </c>
      <c r="BB143" s="16">
        <v>26347.704531</v>
      </c>
      <c r="BC143" s="13">
        <f t="shared" si="33"/>
        <v>309532.980063</v>
      </c>
    </row>
    <row r="144" spans="1:55">
      <c r="A144" s="4" t="s">
        <v>23</v>
      </c>
      <c r="B144" s="4" t="s">
        <v>292</v>
      </c>
      <c r="C144" s="4" t="s">
        <v>293</v>
      </c>
      <c r="D144" s="6">
        <v>123596.3085733</v>
      </c>
      <c r="E144" s="6">
        <v>111509.48872</v>
      </c>
      <c r="F144" s="6">
        <v>99576.3875733</v>
      </c>
      <c r="G144" s="6">
        <v>152629.2299797</v>
      </c>
      <c r="H144" s="6">
        <v>152416.6068941</v>
      </c>
      <c r="I144" s="6">
        <v>171292.7212203</v>
      </c>
      <c r="J144" s="6">
        <v>158666.7452998</v>
      </c>
      <c r="K144" s="6">
        <v>152841.4585444</v>
      </c>
      <c r="L144" s="6">
        <v>173384.3233977</v>
      </c>
      <c r="M144" s="6">
        <v>156493.79544</v>
      </c>
      <c r="N144" s="6">
        <v>125538.095276</v>
      </c>
      <c r="O144" s="6">
        <v>138505.8248035</v>
      </c>
      <c r="P144" s="9">
        <v>1716450.9857221</v>
      </c>
      <c r="Q144" s="11">
        <f t="shared" si="34"/>
        <v>50000</v>
      </c>
      <c r="R144" s="11">
        <f t="shared" si="35"/>
        <v>50000</v>
      </c>
      <c r="S144" s="11">
        <f t="shared" si="36"/>
        <v>50000</v>
      </c>
      <c r="T144" s="11">
        <f t="shared" si="37"/>
        <v>50000</v>
      </c>
      <c r="U144" s="11">
        <f t="shared" si="38"/>
        <v>50000</v>
      </c>
      <c r="V144" s="11">
        <f t="shared" si="39"/>
        <v>50000</v>
      </c>
      <c r="W144" s="11">
        <f t="shared" si="40"/>
        <v>50000</v>
      </c>
      <c r="X144" s="11">
        <f t="shared" si="41"/>
        <v>50000</v>
      </c>
      <c r="Y144" s="11">
        <f t="shared" si="42"/>
        <v>50000</v>
      </c>
      <c r="Z144" s="11">
        <f t="shared" si="43"/>
        <v>50000</v>
      </c>
      <c r="AA144" s="11">
        <f t="shared" si="44"/>
        <v>50000</v>
      </c>
      <c r="AB144" s="11">
        <f t="shared" si="45"/>
        <v>50000</v>
      </c>
      <c r="AC144" s="13">
        <f t="shared" si="31"/>
        <v>600000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3">
        <f t="shared" si="32"/>
        <v>0</v>
      </c>
      <c r="AQ144" s="16">
        <f>123596.3085733-50000</f>
        <v>73596.3085733</v>
      </c>
      <c r="AR144" s="16">
        <f>111509.48872-50000</f>
        <v>61509.48872</v>
      </c>
      <c r="AS144" s="16">
        <f>99576.3875733-50000</f>
        <v>49576.3875733</v>
      </c>
      <c r="AT144" s="16">
        <f>152629.2299797-50000</f>
        <v>102629.2299797</v>
      </c>
      <c r="AU144" s="16">
        <f>152416.6068941-50000</f>
        <v>102416.6068941</v>
      </c>
      <c r="AV144" s="16">
        <f>171292.7212203-50000</f>
        <v>121292.7212203</v>
      </c>
      <c r="AW144" s="16">
        <f>158666.7452998-50000</f>
        <v>108666.7452998</v>
      </c>
      <c r="AX144" s="16">
        <f>152841.4585444-50000</f>
        <v>102841.4585444</v>
      </c>
      <c r="AY144" s="16">
        <f>173384.3233977-50000</f>
        <v>123384.3233977</v>
      </c>
      <c r="AZ144" s="16">
        <f>156493.79544-50000</f>
        <v>106493.79544</v>
      </c>
      <c r="BA144" s="16">
        <f>125538.095276-50000</f>
        <v>75538.095276</v>
      </c>
      <c r="BB144" s="16">
        <f>138505.8248035-50000</f>
        <v>88505.8248035</v>
      </c>
      <c r="BC144" s="13">
        <f t="shared" si="33"/>
        <v>1116450.9857221</v>
      </c>
    </row>
    <row r="145" spans="1:55">
      <c r="A145" s="4" t="s">
        <v>23</v>
      </c>
      <c r="B145" s="4" t="s">
        <v>294</v>
      </c>
      <c r="C145" s="4" t="s">
        <v>295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183.4</v>
      </c>
      <c r="L145" s="6">
        <v>184.2502614</v>
      </c>
      <c r="M145" s="6">
        <v>296.0079262</v>
      </c>
      <c r="N145" s="6">
        <v>234.9102089</v>
      </c>
      <c r="O145" s="6">
        <v>234.9102089</v>
      </c>
      <c r="P145" s="9">
        <v>1133.4786054</v>
      </c>
      <c r="Q145" s="11">
        <f t="shared" si="34"/>
        <v>0</v>
      </c>
      <c r="R145" s="11">
        <f t="shared" si="35"/>
        <v>0</v>
      </c>
      <c r="S145" s="11">
        <f t="shared" si="36"/>
        <v>0</v>
      </c>
      <c r="T145" s="11">
        <f t="shared" si="37"/>
        <v>0</v>
      </c>
      <c r="U145" s="11">
        <f t="shared" si="38"/>
        <v>0</v>
      </c>
      <c r="V145" s="11">
        <f t="shared" si="39"/>
        <v>0</v>
      </c>
      <c r="W145" s="11">
        <f t="shared" si="40"/>
        <v>0</v>
      </c>
      <c r="X145" s="11">
        <f t="shared" si="41"/>
        <v>0</v>
      </c>
      <c r="Y145" s="11">
        <f t="shared" si="42"/>
        <v>0</v>
      </c>
      <c r="Z145" s="11">
        <f t="shared" si="43"/>
        <v>0</v>
      </c>
      <c r="AA145" s="11">
        <f t="shared" si="44"/>
        <v>0</v>
      </c>
      <c r="AB145" s="11">
        <f t="shared" si="45"/>
        <v>0</v>
      </c>
      <c r="AC145" s="13">
        <f t="shared" si="31"/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183.4</v>
      </c>
      <c r="AL145" s="15">
        <v>184.2502614</v>
      </c>
      <c r="AM145" s="15">
        <v>296.0079262</v>
      </c>
      <c r="AN145" s="15">
        <v>234.9102089</v>
      </c>
      <c r="AO145" s="15">
        <v>234.9102089</v>
      </c>
      <c r="AP145" s="13">
        <f t="shared" si="32"/>
        <v>1133.4786054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  <c r="AW145" s="16">
        <v>0</v>
      </c>
      <c r="AX145" s="16">
        <v>0</v>
      </c>
      <c r="AY145" s="16">
        <v>0</v>
      </c>
      <c r="AZ145" s="16">
        <v>0</v>
      </c>
      <c r="BA145" s="16">
        <v>0</v>
      </c>
      <c r="BB145" s="16">
        <v>0</v>
      </c>
      <c r="BC145" s="13">
        <f t="shared" si="33"/>
        <v>0</v>
      </c>
    </row>
    <row r="146" spans="1:55">
      <c r="A146" s="4" t="s">
        <v>23</v>
      </c>
      <c r="B146" s="4" t="s">
        <v>296</v>
      </c>
      <c r="C146" s="4" t="s">
        <v>297</v>
      </c>
      <c r="D146" s="6">
        <v>10950.351552</v>
      </c>
      <c r="E146" s="6">
        <v>11143.49184</v>
      </c>
      <c r="F146" s="6">
        <v>14122.13184</v>
      </c>
      <c r="G146" s="6">
        <v>15373.28448</v>
      </c>
      <c r="H146" s="6">
        <v>12803.23008</v>
      </c>
      <c r="I146" s="6">
        <v>10933.6608</v>
      </c>
      <c r="J146" s="6">
        <v>14496.12864</v>
      </c>
      <c r="K146" s="6">
        <v>12980.51136</v>
      </c>
      <c r="L146" s="6">
        <v>12862.7916475</v>
      </c>
      <c r="M146" s="6">
        <v>20664.7645997</v>
      </c>
      <c r="N146" s="6">
        <v>16399.4398103</v>
      </c>
      <c r="O146" s="6">
        <v>16399.4398103</v>
      </c>
      <c r="P146" s="9">
        <v>169129.2264598</v>
      </c>
      <c r="Q146" s="11">
        <f t="shared" si="34"/>
        <v>0</v>
      </c>
      <c r="R146" s="11">
        <f t="shared" si="35"/>
        <v>0</v>
      </c>
      <c r="S146" s="11">
        <f t="shared" si="36"/>
        <v>0</v>
      </c>
      <c r="T146" s="11">
        <f t="shared" si="37"/>
        <v>0</v>
      </c>
      <c r="U146" s="11">
        <f t="shared" si="38"/>
        <v>0</v>
      </c>
      <c r="V146" s="11">
        <f t="shared" si="39"/>
        <v>0</v>
      </c>
      <c r="W146" s="11">
        <f t="shared" si="40"/>
        <v>0</v>
      </c>
      <c r="X146" s="11">
        <f t="shared" si="41"/>
        <v>0</v>
      </c>
      <c r="Y146" s="11">
        <f t="shared" si="42"/>
        <v>0</v>
      </c>
      <c r="Z146" s="11">
        <f t="shared" si="43"/>
        <v>0</v>
      </c>
      <c r="AA146" s="11">
        <f t="shared" si="44"/>
        <v>0</v>
      </c>
      <c r="AB146" s="11">
        <f t="shared" si="45"/>
        <v>0</v>
      </c>
      <c r="AC146" s="13">
        <f t="shared" si="31"/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3">
        <f t="shared" si="32"/>
        <v>0</v>
      </c>
      <c r="AQ146" s="16">
        <v>10950.351552</v>
      </c>
      <c r="AR146" s="16">
        <v>11143.49184</v>
      </c>
      <c r="AS146" s="16">
        <v>14122.13184</v>
      </c>
      <c r="AT146" s="16">
        <v>15373.28448</v>
      </c>
      <c r="AU146" s="16">
        <v>12803.23008</v>
      </c>
      <c r="AV146" s="16">
        <v>10933.6608</v>
      </c>
      <c r="AW146" s="16">
        <v>14496.12864</v>
      </c>
      <c r="AX146" s="16">
        <v>12980.51136</v>
      </c>
      <c r="AY146" s="16">
        <v>12862.7916475</v>
      </c>
      <c r="AZ146" s="16">
        <v>20664.7645997</v>
      </c>
      <c r="BA146" s="16">
        <v>16399.4398103</v>
      </c>
      <c r="BB146" s="16">
        <v>16399.4398103</v>
      </c>
      <c r="BC146" s="13">
        <f t="shared" si="33"/>
        <v>169129.2264598</v>
      </c>
    </row>
    <row r="147" spans="1:55">
      <c r="A147" s="4" t="s">
        <v>23</v>
      </c>
      <c r="B147" s="4" t="s">
        <v>298</v>
      </c>
      <c r="C147" s="4" t="s">
        <v>299</v>
      </c>
      <c r="D147" s="6">
        <v>85350.7551302</v>
      </c>
      <c r="E147" s="6">
        <v>86127.8353769</v>
      </c>
      <c r="F147" s="6">
        <v>66405.7117056</v>
      </c>
      <c r="G147" s="6">
        <v>87422.7157805</v>
      </c>
      <c r="H147" s="6">
        <v>97565.0292764</v>
      </c>
      <c r="I147" s="6">
        <v>91737.5882154</v>
      </c>
      <c r="J147" s="6">
        <v>87516.9833952</v>
      </c>
      <c r="K147" s="6">
        <v>95673.418361</v>
      </c>
      <c r="L147" s="6">
        <v>104415.6355932</v>
      </c>
      <c r="M147" s="6">
        <v>66300.7304429</v>
      </c>
      <c r="N147" s="6">
        <v>45178.3293537</v>
      </c>
      <c r="O147" s="6">
        <v>53321.7404858</v>
      </c>
      <c r="P147" s="9">
        <v>967016.4731168</v>
      </c>
      <c r="Q147" s="11">
        <f t="shared" si="34"/>
        <v>0</v>
      </c>
      <c r="R147" s="11">
        <f t="shared" si="35"/>
        <v>0</v>
      </c>
      <c r="S147" s="11">
        <f t="shared" si="36"/>
        <v>0</v>
      </c>
      <c r="T147" s="11">
        <f t="shared" si="37"/>
        <v>0</v>
      </c>
      <c r="U147" s="11">
        <f t="shared" si="38"/>
        <v>0</v>
      </c>
      <c r="V147" s="11">
        <f t="shared" si="39"/>
        <v>0</v>
      </c>
      <c r="W147" s="11">
        <f t="shared" si="40"/>
        <v>0</v>
      </c>
      <c r="X147" s="11">
        <f t="shared" si="41"/>
        <v>0</v>
      </c>
      <c r="Y147" s="11">
        <f t="shared" si="42"/>
        <v>0</v>
      </c>
      <c r="Z147" s="11">
        <f t="shared" si="43"/>
        <v>0</v>
      </c>
      <c r="AA147" s="11">
        <f t="shared" si="44"/>
        <v>0</v>
      </c>
      <c r="AB147" s="11">
        <f t="shared" si="45"/>
        <v>0</v>
      </c>
      <c r="AC147" s="13">
        <f t="shared" si="31"/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3">
        <f t="shared" si="32"/>
        <v>0</v>
      </c>
      <c r="AQ147" s="16">
        <v>85350.7551302</v>
      </c>
      <c r="AR147" s="16">
        <v>86127.8353769</v>
      </c>
      <c r="AS147" s="16">
        <v>66405.7117056</v>
      </c>
      <c r="AT147" s="16">
        <v>87422.7157805</v>
      </c>
      <c r="AU147" s="16">
        <v>97565.0292764</v>
      </c>
      <c r="AV147" s="16">
        <v>91737.5882154</v>
      </c>
      <c r="AW147" s="16">
        <v>87516.9833952</v>
      </c>
      <c r="AX147" s="16">
        <v>95673.418361</v>
      </c>
      <c r="AY147" s="16">
        <v>104415.6355932</v>
      </c>
      <c r="AZ147" s="16">
        <v>66300.7304429</v>
      </c>
      <c r="BA147" s="16">
        <v>45178.3293537</v>
      </c>
      <c r="BB147" s="16">
        <v>53321.7404858</v>
      </c>
      <c r="BC147" s="13">
        <f t="shared" si="33"/>
        <v>967016.4731168</v>
      </c>
    </row>
    <row r="148" spans="1:55">
      <c r="A148" s="4" t="s">
        <v>23</v>
      </c>
      <c r="B148" s="4" t="s">
        <v>300</v>
      </c>
      <c r="C148" s="4" t="s">
        <v>301</v>
      </c>
      <c r="D148" s="6">
        <v>74202.9233616</v>
      </c>
      <c r="E148" s="6">
        <v>66143.2329096</v>
      </c>
      <c r="F148" s="6">
        <v>54813.7255248</v>
      </c>
      <c r="G148" s="6">
        <v>63646.4781216</v>
      </c>
      <c r="H148" s="6">
        <v>63804.1708386</v>
      </c>
      <c r="I148" s="6">
        <v>65386.253064</v>
      </c>
      <c r="J148" s="6">
        <v>68724.3599592</v>
      </c>
      <c r="K148" s="6">
        <v>67912.0105692</v>
      </c>
      <c r="L148" s="6">
        <v>72348.2356499</v>
      </c>
      <c r="M148" s="6">
        <v>70454.9144388</v>
      </c>
      <c r="N148" s="6">
        <v>53150.7516002</v>
      </c>
      <c r="O148" s="6">
        <v>57167.6051215</v>
      </c>
      <c r="P148" s="9">
        <v>777754.661159</v>
      </c>
      <c r="Q148" s="11">
        <f t="shared" si="34"/>
        <v>0</v>
      </c>
      <c r="R148" s="11">
        <f t="shared" si="35"/>
        <v>0</v>
      </c>
      <c r="S148" s="11">
        <f t="shared" si="36"/>
        <v>0</v>
      </c>
      <c r="T148" s="11">
        <f t="shared" si="37"/>
        <v>0</v>
      </c>
      <c r="U148" s="11">
        <f t="shared" si="38"/>
        <v>0</v>
      </c>
      <c r="V148" s="11">
        <f t="shared" si="39"/>
        <v>0</v>
      </c>
      <c r="W148" s="11">
        <f t="shared" si="40"/>
        <v>0</v>
      </c>
      <c r="X148" s="11">
        <f t="shared" si="41"/>
        <v>0</v>
      </c>
      <c r="Y148" s="11">
        <f t="shared" si="42"/>
        <v>0</v>
      </c>
      <c r="Z148" s="11">
        <f t="shared" si="43"/>
        <v>0</v>
      </c>
      <c r="AA148" s="11">
        <f t="shared" si="44"/>
        <v>0</v>
      </c>
      <c r="AB148" s="11">
        <f t="shared" si="45"/>
        <v>0</v>
      </c>
      <c r="AC148" s="13">
        <f t="shared" si="31"/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3">
        <f t="shared" si="32"/>
        <v>0</v>
      </c>
      <c r="AQ148" s="16">
        <v>74202.9233616</v>
      </c>
      <c r="AR148" s="16">
        <v>66143.2329096</v>
      </c>
      <c r="AS148" s="16">
        <v>54813.7255248</v>
      </c>
      <c r="AT148" s="16">
        <v>63646.4781216</v>
      </c>
      <c r="AU148" s="16">
        <v>63804.1708386</v>
      </c>
      <c r="AV148" s="16">
        <v>65386.253064</v>
      </c>
      <c r="AW148" s="16">
        <v>68724.3599592</v>
      </c>
      <c r="AX148" s="16">
        <v>67912.0105692</v>
      </c>
      <c r="AY148" s="16">
        <v>72348.2356499</v>
      </c>
      <c r="AZ148" s="16">
        <v>70454.9144388</v>
      </c>
      <c r="BA148" s="16">
        <v>53150.7516002</v>
      </c>
      <c r="BB148" s="16">
        <v>57167.6051215</v>
      </c>
      <c r="BC148" s="13">
        <f t="shared" si="33"/>
        <v>777754.661159</v>
      </c>
    </row>
    <row r="149" spans="1:55">
      <c r="A149" s="4" t="s">
        <v>23</v>
      </c>
      <c r="B149" s="4" t="s">
        <v>302</v>
      </c>
      <c r="C149" s="4" t="s">
        <v>303</v>
      </c>
      <c r="D149" s="6">
        <v>30847.3465944</v>
      </c>
      <c r="E149" s="6">
        <v>23804.540944</v>
      </c>
      <c r="F149" s="6">
        <v>16375.07552</v>
      </c>
      <c r="G149" s="6">
        <v>31761.0519128</v>
      </c>
      <c r="H149" s="6">
        <v>34769.2373974</v>
      </c>
      <c r="I149" s="6">
        <v>31940.6907887</v>
      </c>
      <c r="J149" s="6">
        <v>38750.0448755</v>
      </c>
      <c r="K149" s="6">
        <v>48444.5184781</v>
      </c>
      <c r="L149" s="6">
        <v>40283.6181135</v>
      </c>
      <c r="M149" s="6">
        <v>40302.6223368</v>
      </c>
      <c r="N149" s="6">
        <v>28180.4393475</v>
      </c>
      <c r="O149" s="6">
        <v>31073.6146881</v>
      </c>
      <c r="P149" s="9">
        <v>396532.8009968</v>
      </c>
      <c r="Q149" s="11">
        <f t="shared" si="34"/>
        <v>30847.3465944</v>
      </c>
      <c r="R149" s="11">
        <f t="shared" si="35"/>
        <v>23804.540944</v>
      </c>
      <c r="S149" s="11">
        <f t="shared" si="36"/>
        <v>16375.07552</v>
      </c>
      <c r="T149" s="11">
        <f t="shared" si="37"/>
        <v>31761.0519128</v>
      </c>
      <c r="U149" s="11">
        <f t="shared" si="38"/>
        <v>34769.2373974</v>
      </c>
      <c r="V149" s="11">
        <f t="shared" si="39"/>
        <v>31940.6907887</v>
      </c>
      <c r="W149" s="11">
        <f t="shared" si="40"/>
        <v>38750.0448755</v>
      </c>
      <c r="X149" s="11">
        <f t="shared" si="41"/>
        <v>48444.5184781</v>
      </c>
      <c r="Y149" s="11">
        <f t="shared" si="42"/>
        <v>40283.6181135</v>
      </c>
      <c r="Z149" s="11">
        <f t="shared" si="43"/>
        <v>40302.6223368</v>
      </c>
      <c r="AA149" s="11">
        <f t="shared" si="44"/>
        <v>28180.4393475</v>
      </c>
      <c r="AB149" s="11">
        <f t="shared" si="45"/>
        <v>31073.6146881</v>
      </c>
      <c r="AC149" s="13">
        <f t="shared" si="31"/>
        <v>396532.8009968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3">
        <f t="shared" si="32"/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3">
        <f t="shared" si="33"/>
        <v>0</v>
      </c>
    </row>
    <row r="150" spans="1:55">
      <c r="A150" s="4" t="s">
        <v>23</v>
      </c>
      <c r="B150" s="4" t="s">
        <v>304</v>
      </c>
      <c r="C150" s="4" t="s">
        <v>305</v>
      </c>
      <c r="D150" s="6">
        <v>13990.5952</v>
      </c>
      <c r="E150" s="6">
        <v>8899.4628</v>
      </c>
      <c r="F150" s="6">
        <v>7059.6868</v>
      </c>
      <c r="G150" s="6">
        <v>13895.9264</v>
      </c>
      <c r="H150" s="6">
        <v>16733.8209742</v>
      </c>
      <c r="I150" s="6">
        <v>15967.3368</v>
      </c>
      <c r="J150" s="6">
        <v>20191.5388</v>
      </c>
      <c r="K150" s="6">
        <v>26533.8954844</v>
      </c>
      <c r="L150" s="6">
        <v>19140.8026375</v>
      </c>
      <c r="M150" s="6">
        <v>18045.4478202</v>
      </c>
      <c r="N150" s="6">
        <v>13673.3060402</v>
      </c>
      <c r="O150" s="6">
        <v>14686.7192784</v>
      </c>
      <c r="P150" s="9">
        <v>188818.5390349</v>
      </c>
      <c r="Q150" s="11">
        <f t="shared" si="34"/>
        <v>0</v>
      </c>
      <c r="R150" s="11">
        <f t="shared" si="35"/>
        <v>0</v>
      </c>
      <c r="S150" s="11">
        <f t="shared" si="36"/>
        <v>0</v>
      </c>
      <c r="T150" s="11">
        <f t="shared" si="37"/>
        <v>0</v>
      </c>
      <c r="U150" s="11">
        <f t="shared" si="38"/>
        <v>0</v>
      </c>
      <c r="V150" s="11">
        <f t="shared" si="39"/>
        <v>0</v>
      </c>
      <c r="W150" s="11">
        <f t="shared" si="40"/>
        <v>0</v>
      </c>
      <c r="X150" s="11">
        <f t="shared" si="41"/>
        <v>0</v>
      </c>
      <c r="Y150" s="11">
        <f t="shared" si="42"/>
        <v>0</v>
      </c>
      <c r="Z150" s="11">
        <f t="shared" si="43"/>
        <v>0</v>
      </c>
      <c r="AA150" s="11">
        <f t="shared" si="44"/>
        <v>0</v>
      </c>
      <c r="AB150" s="11">
        <f t="shared" si="45"/>
        <v>0</v>
      </c>
      <c r="AC150" s="13">
        <f t="shared" si="31"/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3">
        <f t="shared" si="32"/>
        <v>0</v>
      </c>
      <c r="AQ150" s="16">
        <v>13990.5952</v>
      </c>
      <c r="AR150" s="16">
        <v>8899.4628</v>
      </c>
      <c r="AS150" s="16">
        <v>7059.6868</v>
      </c>
      <c r="AT150" s="16">
        <v>13895.9264</v>
      </c>
      <c r="AU150" s="16">
        <v>16733.8209742</v>
      </c>
      <c r="AV150" s="16">
        <v>15967.3368</v>
      </c>
      <c r="AW150" s="16">
        <v>20191.5388</v>
      </c>
      <c r="AX150" s="16">
        <v>26533.8954844</v>
      </c>
      <c r="AY150" s="16">
        <v>19140.8026375</v>
      </c>
      <c r="AZ150" s="16">
        <v>18045.4478202</v>
      </c>
      <c r="BA150" s="16">
        <v>13673.3060402</v>
      </c>
      <c r="BB150" s="16">
        <v>14686.7192784</v>
      </c>
      <c r="BC150" s="13">
        <f t="shared" si="33"/>
        <v>188818.5390349</v>
      </c>
    </row>
    <row r="151" spans="1:55">
      <c r="A151" s="4" t="s">
        <v>23</v>
      </c>
      <c r="B151" s="4" t="s">
        <v>306</v>
      </c>
      <c r="C151" s="4" t="s">
        <v>307</v>
      </c>
      <c r="D151" s="6">
        <v>68132.9557434</v>
      </c>
      <c r="E151" s="6">
        <v>60732.9838176</v>
      </c>
      <c r="F151" s="6">
        <v>43175.3238989</v>
      </c>
      <c r="G151" s="6">
        <v>74181.0252096</v>
      </c>
      <c r="H151" s="6">
        <v>86487.2264617</v>
      </c>
      <c r="I151" s="6">
        <v>90819.5333306</v>
      </c>
      <c r="J151" s="6">
        <v>91254.6265579</v>
      </c>
      <c r="K151" s="6">
        <v>82658.1687967</v>
      </c>
      <c r="L151" s="6">
        <v>95462.3366666</v>
      </c>
      <c r="M151" s="6">
        <v>85065.9380224</v>
      </c>
      <c r="N151" s="6">
        <v>73126.7964644</v>
      </c>
      <c r="O151" s="6">
        <v>78955.8622086</v>
      </c>
      <c r="P151" s="9">
        <v>930052.7771784</v>
      </c>
      <c r="Q151" s="11">
        <f t="shared" si="34"/>
        <v>68132.9557434</v>
      </c>
      <c r="R151" s="11">
        <f t="shared" si="35"/>
        <v>60732.9838176</v>
      </c>
      <c r="S151" s="11">
        <f t="shared" si="36"/>
        <v>43175.3238989</v>
      </c>
      <c r="T151" s="11">
        <f t="shared" si="37"/>
        <v>74181.0252096</v>
      </c>
      <c r="U151" s="11">
        <f t="shared" si="38"/>
        <v>86487.2264617</v>
      </c>
      <c r="V151" s="11">
        <f t="shared" si="39"/>
        <v>90819.5333306</v>
      </c>
      <c r="W151" s="11">
        <f t="shared" si="40"/>
        <v>91254.6265579</v>
      </c>
      <c r="X151" s="11">
        <f t="shared" si="41"/>
        <v>82658.1687967</v>
      </c>
      <c r="Y151" s="11">
        <f t="shared" si="42"/>
        <v>95462.3366666</v>
      </c>
      <c r="Z151" s="11">
        <f t="shared" si="43"/>
        <v>85065.9380224</v>
      </c>
      <c r="AA151" s="11">
        <f t="shared" si="44"/>
        <v>73126.7964644</v>
      </c>
      <c r="AB151" s="11">
        <f t="shared" si="45"/>
        <v>78955.8622086</v>
      </c>
      <c r="AC151" s="13">
        <f t="shared" si="31"/>
        <v>930052.7771784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3">
        <f t="shared" si="32"/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3">
        <f t="shared" si="33"/>
        <v>0</v>
      </c>
    </row>
    <row r="152" spans="1:55">
      <c r="A152" s="4" t="s">
        <v>23</v>
      </c>
      <c r="B152" s="4" t="s">
        <v>308</v>
      </c>
      <c r="C152" s="4" t="s">
        <v>309</v>
      </c>
      <c r="D152" s="6">
        <v>74187.2609818</v>
      </c>
      <c r="E152" s="6">
        <v>71279.9238384</v>
      </c>
      <c r="F152" s="6">
        <v>46163.1863856</v>
      </c>
      <c r="G152" s="6">
        <v>61270.1519712</v>
      </c>
      <c r="H152" s="6">
        <v>89922.4953632</v>
      </c>
      <c r="I152" s="6">
        <v>84088.2555016</v>
      </c>
      <c r="J152" s="6">
        <v>85159.9630694</v>
      </c>
      <c r="K152" s="6">
        <v>91530.5307526</v>
      </c>
      <c r="L152" s="6">
        <v>97554.5882715</v>
      </c>
      <c r="M152" s="6">
        <v>65538.980352</v>
      </c>
      <c r="N152" s="6">
        <v>54415.8891278</v>
      </c>
      <c r="O152" s="6">
        <v>60671.3842259</v>
      </c>
      <c r="P152" s="9">
        <v>881782.609841</v>
      </c>
      <c r="Q152" s="11">
        <f t="shared" si="34"/>
        <v>0</v>
      </c>
      <c r="R152" s="11">
        <f t="shared" si="35"/>
        <v>0</v>
      </c>
      <c r="S152" s="11">
        <f t="shared" si="36"/>
        <v>0</v>
      </c>
      <c r="T152" s="11">
        <f t="shared" si="37"/>
        <v>0</v>
      </c>
      <c r="U152" s="11">
        <f t="shared" si="38"/>
        <v>0</v>
      </c>
      <c r="V152" s="11">
        <f t="shared" si="39"/>
        <v>0</v>
      </c>
      <c r="W152" s="11">
        <f t="shared" si="40"/>
        <v>0</v>
      </c>
      <c r="X152" s="11">
        <f t="shared" si="41"/>
        <v>0</v>
      </c>
      <c r="Y152" s="11">
        <f t="shared" si="42"/>
        <v>0</v>
      </c>
      <c r="Z152" s="11">
        <f t="shared" si="43"/>
        <v>0</v>
      </c>
      <c r="AA152" s="11">
        <f t="shared" si="44"/>
        <v>0</v>
      </c>
      <c r="AB152" s="11">
        <f t="shared" si="45"/>
        <v>0</v>
      </c>
      <c r="AC152" s="13">
        <f t="shared" si="31"/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3">
        <f t="shared" si="32"/>
        <v>0</v>
      </c>
      <c r="AQ152" s="16">
        <v>74187.2609818</v>
      </c>
      <c r="AR152" s="16">
        <v>71279.9238384</v>
      </c>
      <c r="AS152" s="16">
        <v>46163.1863856</v>
      </c>
      <c r="AT152" s="16">
        <v>61270.1519712</v>
      </c>
      <c r="AU152" s="16">
        <v>89922.4953632</v>
      </c>
      <c r="AV152" s="16">
        <v>84088.2555016</v>
      </c>
      <c r="AW152" s="16">
        <v>85159.9630694</v>
      </c>
      <c r="AX152" s="16">
        <v>91530.5307526</v>
      </c>
      <c r="AY152" s="16">
        <v>97554.5882715</v>
      </c>
      <c r="AZ152" s="16">
        <v>65538.980352</v>
      </c>
      <c r="BA152" s="16">
        <v>54415.8891278</v>
      </c>
      <c r="BB152" s="16">
        <v>60671.3842259</v>
      </c>
      <c r="BC152" s="13">
        <f t="shared" si="33"/>
        <v>881782.609841</v>
      </c>
    </row>
    <row r="153" spans="1:55">
      <c r="A153" s="4" t="s">
        <v>23</v>
      </c>
      <c r="B153" s="4" t="s">
        <v>310</v>
      </c>
      <c r="C153" s="4" t="s">
        <v>311</v>
      </c>
      <c r="D153" s="6">
        <v>61898.967216</v>
      </c>
      <c r="E153" s="6">
        <v>52646.856552</v>
      </c>
      <c r="F153" s="6">
        <v>35243.5872384</v>
      </c>
      <c r="G153" s="6">
        <v>56652.11268</v>
      </c>
      <c r="H153" s="6">
        <v>67616.8084937</v>
      </c>
      <c r="I153" s="6">
        <v>70573.2416058</v>
      </c>
      <c r="J153" s="6">
        <v>73315.9117406</v>
      </c>
      <c r="K153" s="6">
        <v>76735.7042498</v>
      </c>
      <c r="L153" s="6">
        <v>88162.2816385</v>
      </c>
      <c r="M153" s="6">
        <v>85883.706744</v>
      </c>
      <c r="N153" s="6">
        <v>61827.7637479</v>
      </c>
      <c r="O153" s="6">
        <v>67268.5374281</v>
      </c>
      <c r="P153" s="9">
        <v>797825.4793348</v>
      </c>
      <c r="Q153" s="11">
        <f t="shared" si="34"/>
        <v>0</v>
      </c>
      <c r="R153" s="11">
        <f t="shared" si="35"/>
        <v>0</v>
      </c>
      <c r="S153" s="11">
        <f t="shared" si="36"/>
        <v>0</v>
      </c>
      <c r="T153" s="11">
        <f t="shared" si="37"/>
        <v>0</v>
      </c>
      <c r="U153" s="11">
        <f t="shared" si="38"/>
        <v>0</v>
      </c>
      <c r="V153" s="11">
        <f t="shared" si="39"/>
        <v>0</v>
      </c>
      <c r="W153" s="11">
        <f t="shared" si="40"/>
        <v>0</v>
      </c>
      <c r="X153" s="11">
        <f t="shared" si="41"/>
        <v>0</v>
      </c>
      <c r="Y153" s="11">
        <f t="shared" si="42"/>
        <v>0</v>
      </c>
      <c r="Z153" s="11">
        <f t="shared" si="43"/>
        <v>0</v>
      </c>
      <c r="AA153" s="11">
        <f t="shared" si="44"/>
        <v>0</v>
      </c>
      <c r="AB153" s="11">
        <f t="shared" si="45"/>
        <v>0</v>
      </c>
      <c r="AC153" s="13">
        <f t="shared" si="31"/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3">
        <f t="shared" si="32"/>
        <v>0</v>
      </c>
      <c r="AQ153" s="16">
        <v>61898.967216</v>
      </c>
      <c r="AR153" s="16">
        <v>52646.856552</v>
      </c>
      <c r="AS153" s="16">
        <v>35243.5872384</v>
      </c>
      <c r="AT153" s="16">
        <v>56652.11268</v>
      </c>
      <c r="AU153" s="16">
        <v>67616.8084937</v>
      </c>
      <c r="AV153" s="16">
        <v>70573.2416058</v>
      </c>
      <c r="AW153" s="16">
        <v>73315.9117406</v>
      </c>
      <c r="AX153" s="16">
        <v>76735.7042498</v>
      </c>
      <c r="AY153" s="16">
        <v>88162.2816385</v>
      </c>
      <c r="AZ153" s="16">
        <v>85883.706744</v>
      </c>
      <c r="BA153" s="16">
        <v>61827.7637479</v>
      </c>
      <c r="BB153" s="16">
        <v>67268.5374281</v>
      </c>
      <c r="BC153" s="13">
        <f t="shared" si="33"/>
        <v>797825.4793348</v>
      </c>
    </row>
    <row r="154" spans="1:55">
      <c r="A154" s="4" t="s">
        <v>23</v>
      </c>
      <c r="B154" s="4" t="s">
        <v>312</v>
      </c>
      <c r="C154" s="4" t="s">
        <v>313</v>
      </c>
      <c r="D154" s="6">
        <v>55341.86796</v>
      </c>
      <c r="E154" s="6">
        <v>46432.713672</v>
      </c>
      <c r="F154" s="6">
        <v>41732.5921536</v>
      </c>
      <c r="G154" s="6">
        <v>62384.9853696</v>
      </c>
      <c r="H154" s="6">
        <v>60095.0968142</v>
      </c>
      <c r="I154" s="6">
        <v>55790.8229472</v>
      </c>
      <c r="J154" s="6">
        <v>59894.5068576</v>
      </c>
      <c r="K154" s="6">
        <v>60591.8609052</v>
      </c>
      <c r="L154" s="6">
        <v>62211.4999806</v>
      </c>
      <c r="M154" s="6">
        <v>57779.0438343</v>
      </c>
      <c r="N154" s="6">
        <v>44649.9666168</v>
      </c>
      <c r="O154" s="6">
        <v>48313.8174196</v>
      </c>
      <c r="P154" s="9">
        <v>655218.7745307</v>
      </c>
      <c r="Q154" s="11">
        <f t="shared" si="34"/>
        <v>0</v>
      </c>
      <c r="R154" s="11">
        <f t="shared" si="35"/>
        <v>0</v>
      </c>
      <c r="S154" s="11">
        <f t="shared" si="36"/>
        <v>0</v>
      </c>
      <c r="T154" s="11">
        <f t="shared" si="37"/>
        <v>0</v>
      </c>
      <c r="U154" s="11">
        <f t="shared" si="38"/>
        <v>0</v>
      </c>
      <c r="V154" s="11">
        <f t="shared" si="39"/>
        <v>0</v>
      </c>
      <c r="W154" s="11">
        <f t="shared" si="40"/>
        <v>0</v>
      </c>
      <c r="X154" s="11">
        <f t="shared" si="41"/>
        <v>0</v>
      </c>
      <c r="Y154" s="11">
        <f t="shared" si="42"/>
        <v>0</v>
      </c>
      <c r="Z154" s="11">
        <f t="shared" si="43"/>
        <v>0</v>
      </c>
      <c r="AA154" s="11">
        <f t="shared" si="44"/>
        <v>0</v>
      </c>
      <c r="AB154" s="11">
        <f t="shared" si="45"/>
        <v>0</v>
      </c>
      <c r="AC154" s="13">
        <f t="shared" si="31"/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3">
        <f t="shared" si="32"/>
        <v>0</v>
      </c>
      <c r="AQ154" s="16">
        <v>55341.86796</v>
      </c>
      <c r="AR154" s="16">
        <v>46432.713672</v>
      </c>
      <c r="AS154" s="16">
        <v>41732.5921536</v>
      </c>
      <c r="AT154" s="16">
        <v>62384.9853696</v>
      </c>
      <c r="AU154" s="16">
        <v>60095.0968142</v>
      </c>
      <c r="AV154" s="16">
        <v>55790.8229472</v>
      </c>
      <c r="AW154" s="16">
        <v>59894.5068576</v>
      </c>
      <c r="AX154" s="16">
        <v>60591.8609052</v>
      </c>
      <c r="AY154" s="16">
        <v>62211.4999806</v>
      </c>
      <c r="AZ154" s="16">
        <v>57779.0438343</v>
      </c>
      <c r="BA154" s="16">
        <v>44649.9666168</v>
      </c>
      <c r="BB154" s="16">
        <v>48313.8174196</v>
      </c>
      <c r="BC154" s="13">
        <f t="shared" si="33"/>
        <v>655218.7745307</v>
      </c>
    </row>
    <row r="155" spans="1:55">
      <c r="A155" s="4" t="s">
        <v>23</v>
      </c>
      <c r="B155" s="4" t="s">
        <v>314</v>
      </c>
      <c r="C155" s="4" t="s">
        <v>315</v>
      </c>
      <c r="D155" s="6">
        <v>39660.16676</v>
      </c>
      <c r="E155" s="6">
        <v>34132.1616</v>
      </c>
      <c r="F155" s="6">
        <v>30728.4288</v>
      </c>
      <c r="G155" s="6">
        <v>45689.01</v>
      </c>
      <c r="H155" s="6">
        <v>43234.9556542</v>
      </c>
      <c r="I155" s="6">
        <v>40004.58672</v>
      </c>
      <c r="J155" s="6">
        <v>46401.58032</v>
      </c>
      <c r="K155" s="6">
        <v>46987.8046044</v>
      </c>
      <c r="L155" s="6">
        <v>45012.1312066</v>
      </c>
      <c r="M155" s="6">
        <v>42314.0932621</v>
      </c>
      <c r="N155" s="6">
        <v>32766.6471206</v>
      </c>
      <c r="O155" s="6">
        <v>35637.9836924</v>
      </c>
      <c r="P155" s="9">
        <v>482569.5497403</v>
      </c>
      <c r="Q155" s="11">
        <f t="shared" si="34"/>
        <v>0</v>
      </c>
      <c r="R155" s="11">
        <f t="shared" si="35"/>
        <v>0</v>
      </c>
      <c r="S155" s="11">
        <f t="shared" si="36"/>
        <v>0</v>
      </c>
      <c r="T155" s="11">
        <f t="shared" si="37"/>
        <v>0</v>
      </c>
      <c r="U155" s="11">
        <f t="shared" si="38"/>
        <v>0</v>
      </c>
      <c r="V155" s="11">
        <f t="shared" si="39"/>
        <v>0</v>
      </c>
      <c r="W155" s="11">
        <f t="shared" si="40"/>
        <v>0</v>
      </c>
      <c r="X155" s="11">
        <f t="shared" si="41"/>
        <v>0</v>
      </c>
      <c r="Y155" s="11">
        <f t="shared" si="42"/>
        <v>0</v>
      </c>
      <c r="Z155" s="11">
        <f t="shared" si="43"/>
        <v>0</v>
      </c>
      <c r="AA155" s="11">
        <f t="shared" si="44"/>
        <v>0</v>
      </c>
      <c r="AB155" s="11">
        <f t="shared" si="45"/>
        <v>0</v>
      </c>
      <c r="AC155" s="13">
        <f t="shared" si="31"/>
        <v>0</v>
      </c>
      <c r="AD155" s="15">
        <v>39660.16676</v>
      </c>
      <c r="AE155" s="15">
        <v>34132.1616</v>
      </c>
      <c r="AF155" s="15">
        <v>30728.4288</v>
      </c>
      <c r="AG155" s="15">
        <v>45689.01</v>
      </c>
      <c r="AH155" s="15">
        <v>43234.9556542</v>
      </c>
      <c r="AI155" s="15">
        <v>40004.58672</v>
      </c>
      <c r="AJ155" s="15">
        <v>46401.58032</v>
      </c>
      <c r="AK155" s="15">
        <v>46987.8046044</v>
      </c>
      <c r="AL155" s="15">
        <v>45012.1312066</v>
      </c>
      <c r="AM155" s="15">
        <v>42314.0932621</v>
      </c>
      <c r="AN155" s="15">
        <v>32766.6471206</v>
      </c>
      <c r="AO155" s="15">
        <v>35637.9836924</v>
      </c>
      <c r="AP155" s="13">
        <f t="shared" si="32"/>
        <v>482569.5497403</v>
      </c>
      <c r="AQ155" s="16">
        <v>0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3">
        <f t="shared" si="33"/>
        <v>0</v>
      </c>
    </row>
    <row r="156" spans="1:55">
      <c r="A156" s="4" t="s">
        <v>23</v>
      </c>
      <c r="B156" s="4" t="s">
        <v>316</v>
      </c>
      <c r="C156" s="4" t="s">
        <v>317</v>
      </c>
      <c r="D156" s="6">
        <v>47730.23128</v>
      </c>
      <c r="E156" s="6">
        <v>40072.1424</v>
      </c>
      <c r="F156" s="6">
        <v>36684.31152</v>
      </c>
      <c r="G156" s="6">
        <v>51294.49056</v>
      </c>
      <c r="H156" s="6">
        <v>53449.1305742</v>
      </c>
      <c r="I156" s="6">
        <v>44667.72412</v>
      </c>
      <c r="J156" s="6">
        <v>48713.6114</v>
      </c>
      <c r="K156" s="6">
        <v>51594.7375244</v>
      </c>
      <c r="L156" s="6">
        <v>49980.5759739</v>
      </c>
      <c r="M156" s="6">
        <v>44332.2294806</v>
      </c>
      <c r="N156" s="6">
        <v>34870.5641262</v>
      </c>
      <c r="O156" s="6">
        <v>37808.5108526</v>
      </c>
      <c r="P156" s="9">
        <v>541198.2598119</v>
      </c>
      <c r="Q156" s="11">
        <f t="shared" si="34"/>
        <v>47730.23128</v>
      </c>
      <c r="R156" s="11">
        <f t="shared" si="35"/>
        <v>40072.1424</v>
      </c>
      <c r="S156" s="11">
        <f t="shared" si="36"/>
        <v>36684.31152</v>
      </c>
      <c r="T156" s="11">
        <f t="shared" si="37"/>
        <v>51294.49056</v>
      </c>
      <c r="U156" s="11">
        <f t="shared" si="38"/>
        <v>53449.1305742</v>
      </c>
      <c r="V156" s="11">
        <f t="shared" si="39"/>
        <v>44667.72412</v>
      </c>
      <c r="W156" s="11">
        <f t="shared" si="40"/>
        <v>48713.6114</v>
      </c>
      <c r="X156" s="11">
        <f t="shared" si="41"/>
        <v>51594.7375244</v>
      </c>
      <c r="Y156" s="11">
        <f t="shared" si="42"/>
        <v>49980.5759739</v>
      </c>
      <c r="Z156" s="11">
        <f t="shared" si="43"/>
        <v>44332.2294806</v>
      </c>
      <c r="AA156" s="11">
        <f t="shared" si="44"/>
        <v>34870.5641262</v>
      </c>
      <c r="AB156" s="11">
        <f t="shared" si="45"/>
        <v>37808.5108526</v>
      </c>
      <c r="AC156" s="13">
        <f t="shared" si="31"/>
        <v>541198.2598119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3">
        <f t="shared" si="32"/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3">
        <f t="shared" si="33"/>
        <v>0</v>
      </c>
    </row>
    <row r="157" spans="1:55">
      <c r="A157" s="4" t="s">
        <v>23</v>
      </c>
      <c r="B157" s="4" t="s">
        <v>318</v>
      </c>
      <c r="C157" s="4" t="s">
        <v>319</v>
      </c>
      <c r="D157" s="6">
        <v>42101.93792</v>
      </c>
      <c r="E157" s="6">
        <v>34513.3362</v>
      </c>
      <c r="F157" s="6">
        <v>29465.19072</v>
      </c>
      <c r="G157" s="6">
        <v>43056.80476</v>
      </c>
      <c r="H157" s="6">
        <v>46168.1785742</v>
      </c>
      <c r="I157" s="6">
        <v>37852.58544</v>
      </c>
      <c r="J157" s="6">
        <v>43481.68464</v>
      </c>
      <c r="K157" s="6">
        <v>51369.0276444</v>
      </c>
      <c r="L157" s="6">
        <v>45129.4445961</v>
      </c>
      <c r="M157" s="6">
        <v>40736.1510934</v>
      </c>
      <c r="N157" s="6">
        <v>32367.3502148</v>
      </c>
      <c r="O157" s="6">
        <v>35321.2663343</v>
      </c>
      <c r="P157" s="9">
        <v>481562.9581372</v>
      </c>
      <c r="Q157" s="11">
        <f t="shared" si="34"/>
        <v>0</v>
      </c>
      <c r="R157" s="11">
        <f t="shared" si="35"/>
        <v>0</v>
      </c>
      <c r="S157" s="11">
        <f t="shared" si="36"/>
        <v>0</v>
      </c>
      <c r="T157" s="11">
        <f t="shared" si="37"/>
        <v>0</v>
      </c>
      <c r="U157" s="11">
        <f t="shared" si="38"/>
        <v>0</v>
      </c>
      <c r="V157" s="11">
        <f t="shared" si="39"/>
        <v>0</v>
      </c>
      <c r="W157" s="11">
        <f t="shared" si="40"/>
        <v>0</v>
      </c>
      <c r="X157" s="11">
        <f t="shared" si="41"/>
        <v>0</v>
      </c>
      <c r="Y157" s="11">
        <f t="shared" si="42"/>
        <v>0</v>
      </c>
      <c r="Z157" s="11">
        <f t="shared" si="43"/>
        <v>0</v>
      </c>
      <c r="AA157" s="11">
        <f t="shared" si="44"/>
        <v>0</v>
      </c>
      <c r="AB157" s="11">
        <f t="shared" si="45"/>
        <v>0</v>
      </c>
      <c r="AC157" s="13">
        <f t="shared" si="31"/>
        <v>0</v>
      </c>
      <c r="AD157" s="15">
        <v>42101.93792</v>
      </c>
      <c r="AE157" s="15">
        <v>34513.3362</v>
      </c>
      <c r="AF157" s="15">
        <v>29465.19072</v>
      </c>
      <c r="AG157" s="15">
        <v>43056.80476</v>
      </c>
      <c r="AH157" s="15">
        <v>46168.1785742</v>
      </c>
      <c r="AI157" s="15">
        <v>37852.58544</v>
      </c>
      <c r="AJ157" s="15">
        <v>43481.68464</v>
      </c>
      <c r="AK157" s="15">
        <v>51369.0276444</v>
      </c>
      <c r="AL157" s="15">
        <v>45129.4445961</v>
      </c>
      <c r="AM157" s="15">
        <v>40736.1510934</v>
      </c>
      <c r="AN157" s="15">
        <v>32367.3502148</v>
      </c>
      <c r="AO157" s="15">
        <v>35321.2663343</v>
      </c>
      <c r="AP157" s="13">
        <f t="shared" si="32"/>
        <v>481562.9581372</v>
      </c>
      <c r="AQ157" s="16">
        <v>0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  <c r="BB157" s="16">
        <v>0</v>
      </c>
      <c r="BC157" s="13">
        <f t="shared" si="33"/>
        <v>0</v>
      </c>
    </row>
    <row r="158" spans="1:55">
      <c r="A158" s="4" t="s">
        <v>23</v>
      </c>
      <c r="B158" s="4" t="s">
        <v>320</v>
      </c>
      <c r="C158" s="4" t="s">
        <v>321</v>
      </c>
      <c r="D158" s="6">
        <v>1963.6550246</v>
      </c>
      <c r="E158" s="6">
        <v>1350.0828</v>
      </c>
      <c r="F158" s="6">
        <v>1755.6417351</v>
      </c>
      <c r="G158" s="6">
        <v>2958.3225978</v>
      </c>
      <c r="H158" s="6">
        <v>3072.0940785</v>
      </c>
      <c r="I158" s="6">
        <v>4471.7369713</v>
      </c>
      <c r="J158" s="6">
        <v>3945.3881713</v>
      </c>
      <c r="K158" s="6">
        <v>16237.5946957</v>
      </c>
      <c r="L158" s="6">
        <v>4318.3236461</v>
      </c>
      <c r="M158" s="6">
        <v>4079.7309842</v>
      </c>
      <c r="N158" s="6">
        <v>3103.2624209</v>
      </c>
      <c r="O158" s="6">
        <v>3354.0380664</v>
      </c>
      <c r="P158" s="9">
        <v>50609.8711919</v>
      </c>
      <c r="Q158" s="11">
        <f t="shared" si="34"/>
        <v>0</v>
      </c>
      <c r="R158" s="11">
        <f t="shared" si="35"/>
        <v>0</v>
      </c>
      <c r="S158" s="11">
        <f t="shared" si="36"/>
        <v>0</v>
      </c>
      <c r="T158" s="11">
        <f t="shared" si="37"/>
        <v>0</v>
      </c>
      <c r="U158" s="11">
        <f t="shared" si="38"/>
        <v>0</v>
      </c>
      <c r="V158" s="11">
        <f t="shared" si="39"/>
        <v>0</v>
      </c>
      <c r="W158" s="11">
        <f t="shared" si="40"/>
        <v>0</v>
      </c>
      <c r="X158" s="11">
        <f t="shared" si="41"/>
        <v>0</v>
      </c>
      <c r="Y158" s="11">
        <f t="shared" si="42"/>
        <v>0</v>
      </c>
      <c r="Z158" s="11">
        <f t="shared" si="43"/>
        <v>0</v>
      </c>
      <c r="AA158" s="11">
        <f t="shared" si="44"/>
        <v>0</v>
      </c>
      <c r="AB158" s="11">
        <f t="shared" si="45"/>
        <v>0</v>
      </c>
      <c r="AC158" s="13">
        <f t="shared" si="31"/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3">
        <f t="shared" si="32"/>
        <v>0</v>
      </c>
      <c r="AQ158" s="16">
        <v>1963.6550246</v>
      </c>
      <c r="AR158" s="16">
        <v>1350.0828</v>
      </c>
      <c r="AS158" s="16">
        <v>1755.6417351</v>
      </c>
      <c r="AT158" s="16">
        <v>2958.3225978</v>
      </c>
      <c r="AU158" s="16">
        <v>3072.0940785</v>
      </c>
      <c r="AV158" s="16">
        <v>4471.7369713</v>
      </c>
      <c r="AW158" s="16">
        <v>3945.3881713</v>
      </c>
      <c r="AX158" s="16">
        <v>16237.5946957</v>
      </c>
      <c r="AY158" s="16">
        <v>4318.3236461</v>
      </c>
      <c r="AZ158" s="16">
        <v>4079.7309842</v>
      </c>
      <c r="BA158" s="16">
        <v>3103.2624209</v>
      </c>
      <c r="BB158" s="16">
        <v>3354.0380664</v>
      </c>
      <c r="BC158" s="13">
        <f t="shared" si="33"/>
        <v>50609.8711919</v>
      </c>
    </row>
    <row r="159" spans="1:55">
      <c r="A159" s="4" t="s">
        <v>23</v>
      </c>
      <c r="B159" s="4" t="s">
        <v>322</v>
      </c>
      <c r="C159" s="4" t="s">
        <v>323</v>
      </c>
      <c r="D159" s="6">
        <v>12250.9086336</v>
      </c>
      <c r="E159" s="6">
        <v>10529.820288</v>
      </c>
      <c r="F159" s="6">
        <v>12137.105664</v>
      </c>
      <c r="G159" s="6">
        <v>7146.966528</v>
      </c>
      <c r="H159" s="6">
        <v>6874.409088</v>
      </c>
      <c r="I159" s="6">
        <v>6675.709824</v>
      </c>
      <c r="J159" s="6">
        <v>11296.952064</v>
      </c>
      <c r="K159" s="6">
        <v>9182.640384</v>
      </c>
      <c r="L159" s="6">
        <v>9093.7323576</v>
      </c>
      <c r="M159" s="6">
        <v>14609.5687198</v>
      </c>
      <c r="N159" s="6">
        <v>11594.0707535</v>
      </c>
      <c r="O159" s="6">
        <v>11594.0707535</v>
      </c>
      <c r="P159" s="9">
        <v>122985.955058</v>
      </c>
      <c r="Q159" s="11">
        <f t="shared" si="34"/>
        <v>0</v>
      </c>
      <c r="R159" s="11">
        <f t="shared" si="35"/>
        <v>0</v>
      </c>
      <c r="S159" s="11">
        <f t="shared" si="36"/>
        <v>0</v>
      </c>
      <c r="T159" s="11">
        <f t="shared" si="37"/>
        <v>0</v>
      </c>
      <c r="U159" s="11">
        <f t="shared" si="38"/>
        <v>0</v>
      </c>
      <c r="V159" s="11">
        <f t="shared" si="39"/>
        <v>0</v>
      </c>
      <c r="W159" s="11">
        <f t="shared" si="40"/>
        <v>0</v>
      </c>
      <c r="X159" s="11">
        <f t="shared" si="41"/>
        <v>0</v>
      </c>
      <c r="Y159" s="11">
        <f t="shared" si="42"/>
        <v>0</v>
      </c>
      <c r="Z159" s="11">
        <f t="shared" si="43"/>
        <v>0</v>
      </c>
      <c r="AA159" s="11">
        <f t="shared" si="44"/>
        <v>0</v>
      </c>
      <c r="AB159" s="11">
        <f t="shared" si="45"/>
        <v>0</v>
      </c>
      <c r="AC159" s="13">
        <f t="shared" si="31"/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3">
        <f t="shared" si="32"/>
        <v>0</v>
      </c>
      <c r="AQ159" s="16">
        <v>12250.9086336</v>
      </c>
      <c r="AR159" s="16">
        <v>10529.820288</v>
      </c>
      <c r="AS159" s="16">
        <v>12137.105664</v>
      </c>
      <c r="AT159" s="16">
        <v>7146.966528</v>
      </c>
      <c r="AU159" s="16">
        <v>6874.409088</v>
      </c>
      <c r="AV159" s="16">
        <v>6675.709824</v>
      </c>
      <c r="AW159" s="16">
        <v>11296.952064</v>
      </c>
      <c r="AX159" s="16">
        <v>9182.640384</v>
      </c>
      <c r="AY159" s="16">
        <v>9093.7323576</v>
      </c>
      <c r="AZ159" s="16">
        <v>14609.5687198</v>
      </c>
      <c r="BA159" s="16">
        <v>11594.0707535</v>
      </c>
      <c r="BB159" s="16">
        <v>11594.0707535</v>
      </c>
      <c r="BC159" s="13">
        <f t="shared" si="33"/>
        <v>122985.955058</v>
      </c>
    </row>
    <row r="160" spans="1:55">
      <c r="A160" s="4" t="s">
        <v>23</v>
      </c>
      <c r="B160" s="4" t="s">
        <v>324</v>
      </c>
      <c r="C160" s="4" t="s">
        <v>325</v>
      </c>
      <c r="D160" s="6">
        <v>14959.8318744</v>
      </c>
      <c r="E160" s="6">
        <v>14019.884784</v>
      </c>
      <c r="F160" s="6">
        <v>17113.36896</v>
      </c>
      <c r="G160" s="6">
        <v>18133.9452</v>
      </c>
      <c r="H160" s="6">
        <v>15331.774608</v>
      </c>
      <c r="I160" s="6">
        <v>11996.464752</v>
      </c>
      <c r="J160" s="6">
        <v>17775.301968</v>
      </c>
      <c r="K160" s="6">
        <v>14620.953168</v>
      </c>
      <c r="L160" s="6">
        <v>14866.1763822</v>
      </c>
      <c r="M160" s="6">
        <v>23883.3096154</v>
      </c>
      <c r="N160" s="6">
        <v>18953.6588534</v>
      </c>
      <c r="O160" s="6">
        <v>18953.6588534</v>
      </c>
      <c r="P160" s="9">
        <v>200608.3290188</v>
      </c>
      <c r="Q160" s="11">
        <f t="shared" si="34"/>
        <v>0</v>
      </c>
      <c r="R160" s="11">
        <f t="shared" si="35"/>
        <v>0</v>
      </c>
      <c r="S160" s="11">
        <f t="shared" si="36"/>
        <v>0</v>
      </c>
      <c r="T160" s="11">
        <f t="shared" si="37"/>
        <v>0</v>
      </c>
      <c r="U160" s="11">
        <f t="shared" si="38"/>
        <v>0</v>
      </c>
      <c r="V160" s="11">
        <f t="shared" si="39"/>
        <v>0</v>
      </c>
      <c r="W160" s="11">
        <f t="shared" si="40"/>
        <v>0</v>
      </c>
      <c r="X160" s="11">
        <f t="shared" si="41"/>
        <v>0</v>
      </c>
      <c r="Y160" s="11">
        <f t="shared" si="42"/>
        <v>0</v>
      </c>
      <c r="Z160" s="11">
        <f t="shared" si="43"/>
        <v>0</v>
      </c>
      <c r="AA160" s="11">
        <f t="shared" si="44"/>
        <v>0</v>
      </c>
      <c r="AB160" s="11">
        <f t="shared" si="45"/>
        <v>0</v>
      </c>
      <c r="AC160" s="13">
        <f t="shared" si="31"/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3">
        <f t="shared" si="32"/>
        <v>0</v>
      </c>
      <c r="AQ160" s="16">
        <v>14959.8318744</v>
      </c>
      <c r="AR160" s="16">
        <v>14019.884784</v>
      </c>
      <c r="AS160" s="16">
        <v>17113.36896</v>
      </c>
      <c r="AT160" s="16">
        <v>18133.9452</v>
      </c>
      <c r="AU160" s="16">
        <v>15331.774608</v>
      </c>
      <c r="AV160" s="16">
        <v>11996.464752</v>
      </c>
      <c r="AW160" s="16">
        <v>17775.301968</v>
      </c>
      <c r="AX160" s="16">
        <v>14620.953168</v>
      </c>
      <c r="AY160" s="16">
        <v>14866.1763822</v>
      </c>
      <c r="AZ160" s="16">
        <v>23883.3096154</v>
      </c>
      <c r="BA160" s="16">
        <v>18953.6588534</v>
      </c>
      <c r="BB160" s="16">
        <v>18953.6588534</v>
      </c>
      <c r="BC160" s="13">
        <f t="shared" si="33"/>
        <v>200608.3290188</v>
      </c>
    </row>
    <row r="161" spans="1:55">
      <c r="A161" s="4" t="s">
        <v>23</v>
      </c>
      <c r="B161" s="4" t="s">
        <v>326</v>
      </c>
      <c r="C161" s="4" t="s">
        <v>327</v>
      </c>
      <c r="D161" s="6">
        <v>30678.5770704</v>
      </c>
      <c r="E161" s="6">
        <v>35331.319008</v>
      </c>
      <c r="F161" s="6">
        <v>30874.796208</v>
      </c>
      <c r="G161" s="6">
        <v>23131.372176</v>
      </c>
      <c r="H161" s="6">
        <v>15870.040056</v>
      </c>
      <c r="I161" s="6">
        <v>18081.206568</v>
      </c>
      <c r="J161" s="6">
        <v>25284.571416</v>
      </c>
      <c r="K161" s="6">
        <v>20431.75032</v>
      </c>
      <c r="L161" s="6">
        <v>21364.4334231</v>
      </c>
      <c r="M161" s="6">
        <v>34323.1080462</v>
      </c>
      <c r="N161" s="6">
        <v>27238.6235899</v>
      </c>
      <c r="O161" s="6">
        <v>27238.6235899</v>
      </c>
      <c r="P161" s="9">
        <v>309848.4214715</v>
      </c>
      <c r="Q161" s="11">
        <f t="shared" si="34"/>
        <v>0</v>
      </c>
      <c r="R161" s="11">
        <f t="shared" si="35"/>
        <v>0</v>
      </c>
      <c r="S161" s="11">
        <f t="shared" si="36"/>
        <v>0</v>
      </c>
      <c r="T161" s="11">
        <f t="shared" si="37"/>
        <v>0</v>
      </c>
      <c r="U161" s="11">
        <f t="shared" si="38"/>
        <v>0</v>
      </c>
      <c r="V161" s="11">
        <f t="shared" si="39"/>
        <v>0</v>
      </c>
      <c r="W161" s="11">
        <f t="shared" si="40"/>
        <v>0</v>
      </c>
      <c r="X161" s="11">
        <f t="shared" si="41"/>
        <v>0</v>
      </c>
      <c r="Y161" s="11">
        <f t="shared" si="42"/>
        <v>0</v>
      </c>
      <c r="Z161" s="11">
        <f t="shared" si="43"/>
        <v>0</v>
      </c>
      <c r="AA161" s="11">
        <f t="shared" si="44"/>
        <v>0</v>
      </c>
      <c r="AB161" s="11">
        <f t="shared" si="45"/>
        <v>0</v>
      </c>
      <c r="AC161" s="13">
        <f t="shared" si="31"/>
        <v>0</v>
      </c>
      <c r="AD161" s="15">
        <v>30678.5770704</v>
      </c>
      <c r="AE161" s="15">
        <v>35331.319008</v>
      </c>
      <c r="AF161" s="15">
        <v>30874.796208</v>
      </c>
      <c r="AG161" s="15">
        <v>23131.372176</v>
      </c>
      <c r="AH161" s="15">
        <v>15870.040056</v>
      </c>
      <c r="AI161" s="15">
        <v>18081.206568</v>
      </c>
      <c r="AJ161" s="15">
        <v>25284.571416</v>
      </c>
      <c r="AK161" s="15">
        <v>20431.75032</v>
      </c>
      <c r="AL161" s="15">
        <v>21364.4334231</v>
      </c>
      <c r="AM161" s="15">
        <v>34323.1080462</v>
      </c>
      <c r="AN161" s="15">
        <v>27238.6235899</v>
      </c>
      <c r="AO161" s="15">
        <v>27238.6235899</v>
      </c>
      <c r="AP161" s="13">
        <f t="shared" si="32"/>
        <v>309848.4214715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>
        <v>0</v>
      </c>
      <c r="AW161" s="16">
        <v>0</v>
      </c>
      <c r="AX161" s="16">
        <v>0</v>
      </c>
      <c r="AY161" s="16">
        <v>0</v>
      </c>
      <c r="AZ161" s="16">
        <v>0</v>
      </c>
      <c r="BA161" s="16">
        <v>0</v>
      </c>
      <c r="BB161" s="16">
        <v>0</v>
      </c>
      <c r="BC161" s="13">
        <f t="shared" si="33"/>
        <v>0</v>
      </c>
    </row>
    <row r="162" spans="1:55">
      <c r="A162" s="4" t="s">
        <v>23</v>
      </c>
      <c r="B162" s="4" t="s">
        <v>328</v>
      </c>
      <c r="C162" s="4" t="s">
        <v>329</v>
      </c>
      <c r="D162" s="6">
        <v>19740.4874352</v>
      </c>
      <c r="E162" s="6">
        <v>27312.056928</v>
      </c>
      <c r="F162" s="6">
        <v>23298.963936</v>
      </c>
      <c r="G162" s="6">
        <v>17082.04848</v>
      </c>
      <c r="H162" s="6">
        <v>7380.897984</v>
      </c>
      <c r="I162" s="6">
        <v>10683.101088</v>
      </c>
      <c r="J162" s="6">
        <v>15905.014464</v>
      </c>
      <c r="K162" s="6">
        <v>12416.105088</v>
      </c>
      <c r="L162" s="6">
        <v>13061.6827522</v>
      </c>
      <c r="M162" s="6">
        <v>20984.2938257</v>
      </c>
      <c r="N162" s="6">
        <v>16653.0163891</v>
      </c>
      <c r="O162" s="6">
        <v>16653.0163891</v>
      </c>
      <c r="P162" s="9">
        <v>201170.6847593</v>
      </c>
      <c r="Q162" s="11">
        <f t="shared" si="34"/>
        <v>19740.4874352</v>
      </c>
      <c r="R162" s="11">
        <f t="shared" si="35"/>
        <v>27312.056928</v>
      </c>
      <c r="S162" s="11">
        <f t="shared" si="36"/>
        <v>23298.963936</v>
      </c>
      <c r="T162" s="11">
        <f t="shared" si="37"/>
        <v>17082.04848</v>
      </c>
      <c r="U162" s="11">
        <f t="shared" si="38"/>
        <v>7380.897984</v>
      </c>
      <c r="V162" s="11">
        <f t="shared" si="39"/>
        <v>10683.101088</v>
      </c>
      <c r="W162" s="11">
        <f t="shared" si="40"/>
        <v>15905.014464</v>
      </c>
      <c r="X162" s="11">
        <f t="shared" si="41"/>
        <v>12416.105088</v>
      </c>
      <c r="Y162" s="11">
        <f t="shared" si="42"/>
        <v>13061.6827522</v>
      </c>
      <c r="Z162" s="11">
        <f t="shared" si="43"/>
        <v>20984.2938257</v>
      </c>
      <c r="AA162" s="11">
        <f t="shared" si="44"/>
        <v>16653.0163891</v>
      </c>
      <c r="AB162" s="11">
        <f t="shared" si="45"/>
        <v>16653.0163891</v>
      </c>
      <c r="AC162" s="13">
        <f t="shared" si="31"/>
        <v>201170.6847593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3">
        <f t="shared" si="32"/>
        <v>0</v>
      </c>
      <c r="AQ162" s="16">
        <v>0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3">
        <f t="shared" si="33"/>
        <v>0</v>
      </c>
    </row>
    <row r="163" spans="1:55">
      <c r="A163" s="4" t="s">
        <v>23</v>
      </c>
      <c r="B163" s="4" t="s">
        <v>330</v>
      </c>
      <c r="C163" s="4" t="s">
        <v>331</v>
      </c>
      <c r="D163" s="6">
        <v>4727.9972376</v>
      </c>
      <c r="E163" s="6">
        <v>7149.501216</v>
      </c>
      <c r="F163" s="6">
        <v>9651.324384</v>
      </c>
      <c r="G163" s="6">
        <v>8566.988976</v>
      </c>
      <c r="H163" s="6">
        <v>5552.121744</v>
      </c>
      <c r="I163" s="6">
        <v>4648.351968</v>
      </c>
      <c r="J163" s="6">
        <v>6831.28368</v>
      </c>
      <c r="K163" s="6">
        <v>4781.550384</v>
      </c>
      <c r="L163" s="6">
        <v>5445.5248596</v>
      </c>
      <c r="M163" s="6">
        <v>8748.5277247</v>
      </c>
      <c r="N163" s="6">
        <v>6942.7819106</v>
      </c>
      <c r="O163" s="6">
        <v>6942.7819106</v>
      </c>
      <c r="P163" s="9">
        <v>79988.7359951</v>
      </c>
      <c r="Q163" s="11">
        <f t="shared" si="34"/>
        <v>4727.9972376</v>
      </c>
      <c r="R163" s="11">
        <f t="shared" si="35"/>
        <v>7149.501216</v>
      </c>
      <c r="S163" s="11">
        <f t="shared" si="36"/>
        <v>9651.324384</v>
      </c>
      <c r="T163" s="11">
        <f t="shared" si="37"/>
        <v>8566.988976</v>
      </c>
      <c r="U163" s="11">
        <f t="shared" si="38"/>
        <v>5552.121744</v>
      </c>
      <c r="V163" s="11">
        <f t="shared" si="39"/>
        <v>4648.351968</v>
      </c>
      <c r="W163" s="11">
        <f t="shared" si="40"/>
        <v>6831.28368</v>
      </c>
      <c r="X163" s="11">
        <f t="shared" si="41"/>
        <v>4781.550384</v>
      </c>
      <c r="Y163" s="11">
        <f t="shared" si="42"/>
        <v>5445.5248596</v>
      </c>
      <c r="Z163" s="11">
        <f t="shared" si="43"/>
        <v>8748.5277247</v>
      </c>
      <c r="AA163" s="11">
        <f t="shared" si="44"/>
        <v>6942.7819106</v>
      </c>
      <c r="AB163" s="11">
        <f t="shared" si="45"/>
        <v>6942.7819106</v>
      </c>
      <c r="AC163" s="13">
        <f t="shared" si="31"/>
        <v>79988.7359951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3">
        <f t="shared" si="32"/>
        <v>0</v>
      </c>
      <c r="AQ163" s="16">
        <v>0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3">
        <f t="shared" si="33"/>
        <v>0</v>
      </c>
    </row>
    <row r="164" spans="1:55">
      <c r="A164" s="4" t="s">
        <v>23</v>
      </c>
      <c r="B164" s="4" t="s">
        <v>332</v>
      </c>
      <c r="C164" s="4" t="s">
        <v>333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230.724</v>
      </c>
      <c r="L164" s="6">
        <v>231.7936604</v>
      </c>
      <c r="M164" s="6">
        <v>372.3889463</v>
      </c>
      <c r="N164" s="6">
        <v>295.5257526</v>
      </c>
      <c r="O164" s="6">
        <v>295.5257526</v>
      </c>
      <c r="P164" s="9">
        <v>1425.9581119</v>
      </c>
      <c r="Q164" s="11">
        <f t="shared" si="34"/>
        <v>0</v>
      </c>
      <c r="R164" s="11">
        <f t="shared" si="35"/>
        <v>0</v>
      </c>
      <c r="S164" s="11">
        <f t="shared" si="36"/>
        <v>0</v>
      </c>
      <c r="T164" s="11">
        <f t="shared" si="37"/>
        <v>0</v>
      </c>
      <c r="U164" s="11">
        <f t="shared" si="38"/>
        <v>0</v>
      </c>
      <c r="V164" s="11">
        <f t="shared" si="39"/>
        <v>0</v>
      </c>
      <c r="W164" s="11">
        <f t="shared" si="40"/>
        <v>0</v>
      </c>
      <c r="X164" s="11">
        <f t="shared" si="41"/>
        <v>230.724</v>
      </c>
      <c r="Y164" s="11">
        <f t="shared" si="42"/>
        <v>231.7936604</v>
      </c>
      <c r="Z164" s="11">
        <f t="shared" si="43"/>
        <v>372.3889463</v>
      </c>
      <c r="AA164" s="11">
        <f t="shared" si="44"/>
        <v>295.5257526</v>
      </c>
      <c r="AB164" s="11">
        <f t="shared" si="45"/>
        <v>295.5257526</v>
      </c>
      <c r="AC164" s="13">
        <f t="shared" si="31"/>
        <v>1425.9581119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3">
        <f t="shared" si="32"/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  <c r="BB164" s="16">
        <v>0</v>
      </c>
      <c r="BC164" s="13">
        <f t="shared" si="33"/>
        <v>0</v>
      </c>
    </row>
    <row r="165" spans="1:55">
      <c r="A165" s="4" t="s">
        <v>23</v>
      </c>
      <c r="B165" s="4" t="s">
        <v>334</v>
      </c>
      <c r="C165" s="4" t="s">
        <v>335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5.256</v>
      </c>
      <c r="L165" s="6">
        <v>5.2803674</v>
      </c>
      <c r="M165" s="6">
        <v>8.4831933</v>
      </c>
      <c r="N165" s="6">
        <v>6.7322141</v>
      </c>
      <c r="O165" s="6">
        <v>6.7322141</v>
      </c>
      <c r="P165" s="9">
        <v>32.4839889</v>
      </c>
      <c r="Q165" s="11">
        <f t="shared" si="34"/>
        <v>0</v>
      </c>
      <c r="R165" s="11">
        <f t="shared" si="35"/>
        <v>0</v>
      </c>
      <c r="S165" s="11">
        <f t="shared" si="36"/>
        <v>0</v>
      </c>
      <c r="T165" s="11">
        <f t="shared" si="37"/>
        <v>0</v>
      </c>
      <c r="U165" s="11">
        <f t="shared" si="38"/>
        <v>0</v>
      </c>
      <c r="V165" s="11">
        <f t="shared" si="39"/>
        <v>0</v>
      </c>
      <c r="W165" s="11">
        <f t="shared" si="40"/>
        <v>0</v>
      </c>
      <c r="X165" s="11">
        <f t="shared" si="41"/>
        <v>5.256</v>
      </c>
      <c r="Y165" s="11">
        <f t="shared" si="42"/>
        <v>5.2803674</v>
      </c>
      <c r="Z165" s="11">
        <f t="shared" si="43"/>
        <v>8.4831933</v>
      </c>
      <c r="AA165" s="11">
        <f t="shared" si="44"/>
        <v>6.7322141</v>
      </c>
      <c r="AB165" s="11">
        <f t="shared" si="45"/>
        <v>6.7322141</v>
      </c>
      <c r="AC165" s="13">
        <f t="shared" si="31"/>
        <v>32.4839889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3">
        <f t="shared" si="32"/>
        <v>0</v>
      </c>
      <c r="AQ165" s="16">
        <v>0</v>
      </c>
      <c r="AR165" s="16">
        <v>0</v>
      </c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  <c r="AY165" s="16">
        <v>0</v>
      </c>
      <c r="AZ165" s="16">
        <v>0</v>
      </c>
      <c r="BA165" s="16">
        <v>0</v>
      </c>
      <c r="BB165" s="16">
        <v>0</v>
      </c>
      <c r="BC165" s="13">
        <f t="shared" si="33"/>
        <v>0</v>
      </c>
    </row>
    <row r="166" spans="1:55">
      <c r="A166" s="4" t="s">
        <v>23</v>
      </c>
      <c r="B166" s="4" t="s">
        <v>336</v>
      </c>
      <c r="C166" s="4" t="s">
        <v>337</v>
      </c>
      <c r="D166" s="6">
        <v>18141.90336</v>
      </c>
      <c r="E166" s="6">
        <v>14257.6104</v>
      </c>
      <c r="F166" s="6">
        <v>1170.1848</v>
      </c>
      <c r="G166" s="6">
        <v>0</v>
      </c>
      <c r="H166" s="6">
        <v>0</v>
      </c>
      <c r="I166" s="6">
        <v>0</v>
      </c>
      <c r="J166" s="6">
        <v>0</v>
      </c>
      <c r="K166" s="6">
        <v>12.8016</v>
      </c>
      <c r="L166" s="6">
        <v>0</v>
      </c>
      <c r="M166" s="6">
        <v>0</v>
      </c>
      <c r="N166" s="6">
        <v>0</v>
      </c>
      <c r="O166" s="6">
        <v>0</v>
      </c>
      <c r="P166" s="9">
        <v>33582.50016</v>
      </c>
      <c r="Q166" s="11">
        <f t="shared" si="34"/>
        <v>18141.90336</v>
      </c>
      <c r="R166" s="11">
        <f t="shared" si="35"/>
        <v>14257.6104</v>
      </c>
      <c r="S166" s="11">
        <f t="shared" si="36"/>
        <v>1170.1848</v>
      </c>
      <c r="T166" s="11">
        <f t="shared" si="37"/>
        <v>0</v>
      </c>
      <c r="U166" s="11">
        <f t="shared" si="38"/>
        <v>0</v>
      </c>
      <c r="V166" s="11">
        <f t="shared" si="39"/>
        <v>0</v>
      </c>
      <c r="W166" s="11">
        <f t="shared" si="40"/>
        <v>0</v>
      </c>
      <c r="X166" s="11">
        <f t="shared" si="41"/>
        <v>12.8016</v>
      </c>
      <c r="Y166" s="11">
        <f t="shared" si="42"/>
        <v>0</v>
      </c>
      <c r="Z166" s="11">
        <f t="shared" si="43"/>
        <v>0</v>
      </c>
      <c r="AA166" s="11">
        <f t="shared" si="44"/>
        <v>0</v>
      </c>
      <c r="AB166" s="11">
        <f t="shared" si="45"/>
        <v>0</v>
      </c>
      <c r="AC166" s="13">
        <f t="shared" si="31"/>
        <v>33582.50016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3">
        <f t="shared" si="32"/>
        <v>0</v>
      </c>
      <c r="AQ166" s="16">
        <v>0</v>
      </c>
      <c r="AR166" s="16">
        <v>0</v>
      </c>
      <c r="AS166" s="16">
        <v>0</v>
      </c>
      <c r="AT166" s="16">
        <v>0</v>
      </c>
      <c r="AU166" s="16">
        <v>0</v>
      </c>
      <c r="AV166" s="16">
        <v>0</v>
      </c>
      <c r="AW166" s="16">
        <v>0</v>
      </c>
      <c r="AX166" s="16">
        <v>0</v>
      </c>
      <c r="AY166" s="16">
        <v>0</v>
      </c>
      <c r="AZ166" s="16">
        <v>0</v>
      </c>
      <c r="BA166" s="16">
        <v>0</v>
      </c>
      <c r="BB166" s="16">
        <v>0</v>
      </c>
      <c r="BC166" s="13">
        <f t="shared" si="33"/>
        <v>0</v>
      </c>
    </row>
    <row r="167" spans="1:55">
      <c r="A167" s="4" t="s">
        <v>23</v>
      </c>
      <c r="B167" s="4" t="s">
        <v>338</v>
      </c>
      <c r="C167" s="4" t="s">
        <v>339</v>
      </c>
      <c r="D167" s="6">
        <v>1062.683496</v>
      </c>
      <c r="E167" s="6">
        <v>777.0528</v>
      </c>
      <c r="F167" s="6">
        <v>1224.69408</v>
      </c>
      <c r="G167" s="6">
        <v>907.77456</v>
      </c>
      <c r="H167" s="6">
        <v>892.46592</v>
      </c>
      <c r="I167" s="6">
        <v>787.69008</v>
      </c>
      <c r="J167" s="6">
        <v>1114.73136</v>
      </c>
      <c r="K167" s="6">
        <v>918.44784</v>
      </c>
      <c r="L167" s="6">
        <v>944.649041</v>
      </c>
      <c r="M167" s="6">
        <v>1517.6293448</v>
      </c>
      <c r="N167" s="6">
        <v>1204.3820279</v>
      </c>
      <c r="O167" s="6">
        <v>1204.3820279</v>
      </c>
      <c r="P167" s="9">
        <v>12556.5825776</v>
      </c>
      <c r="Q167" s="11">
        <f t="shared" si="34"/>
        <v>0</v>
      </c>
      <c r="R167" s="11">
        <f t="shared" si="35"/>
        <v>0</v>
      </c>
      <c r="S167" s="11">
        <f t="shared" si="36"/>
        <v>0</v>
      </c>
      <c r="T167" s="11">
        <f t="shared" si="37"/>
        <v>0</v>
      </c>
      <c r="U167" s="11">
        <f t="shared" si="38"/>
        <v>0</v>
      </c>
      <c r="V167" s="11">
        <f t="shared" si="39"/>
        <v>0</v>
      </c>
      <c r="W167" s="11">
        <f t="shared" si="40"/>
        <v>0</v>
      </c>
      <c r="X167" s="11">
        <f t="shared" si="41"/>
        <v>0</v>
      </c>
      <c r="Y167" s="11">
        <f t="shared" si="42"/>
        <v>0</v>
      </c>
      <c r="Z167" s="11">
        <f t="shared" si="43"/>
        <v>0</v>
      </c>
      <c r="AA167" s="11">
        <f t="shared" si="44"/>
        <v>0</v>
      </c>
      <c r="AB167" s="11">
        <f t="shared" si="45"/>
        <v>0</v>
      </c>
      <c r="AC167" s="13">
        <f t="shared" si="31"/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3">
        <f t="shared" si="32"/>
        <v>0</v>
      </c>
      <c r="AQ167" s="16">
        <v>1062.683496</v>
      </c>
      <c r="AR167" s="16">
        <v>777.0528</v>
      </c>
      <c r="AS167" s="16">
        <v>1224.69408</v>
      </c>
      <c r="AT167" s="16">
        <v>907.77456</v>
      </c>
      <c r="AU167" s="16">
        <v>892.46592</v>
      </c>
      <c r="AV167" s="16">
        <v>787.69008</v>
      </c>
      <c r="AW167" s="16">
        <v>1114.73136</v>
      </c>
      <c r="AX167" s="16">
        <v>918.44784</v>
      </c>
      <c r="AY167" s="16">
        <v>944.649041</v>
      </c>
      <c r="AZ167" s="16">
        <v>1517.6293448</v>
      </c>
      <c r="BA167" s="16">
        <v>1204.3820279</v>
      </c>
      <c r="BB167" s="16">
        <v>1204.3820279</v>
      </c>
      <c r="BC167" s="13">
        <f t="shared" si="33"/>
        <v>12556.5825776</v>
      </c>
    </row>
    <row r="168" spans="1:55">
      <c r="A168" s="4" t="s">
        <v>23</v>
      </c>
      <c r="B168" s="4" t="s">
        <v>340</v>
      </c>
      <c r="C168" s="4" t="s">
        <v>341</v>
      </c>
      <c r="D168" s="6">
        <v>2183.553288</v>
      </c>
      <c r="E168" s="6">
        <v>1906.51824</v>
      </c>
      <c r="F168" s="6">
        <v>2146.28832</v>
      </c>
      <c r="G168" s="6">
        <v>2818.8648</v>
      </c>
      <c r="H168" s="6">
        <v>1858.7304</v>
      </c>
      <c r="I168" s="6">
        <v>1987.52688</v>
      </c>
      <c r="J168" s="6">
        <v>2386.45872</v>
      </c>
      <c r="K168" s="6">
        <v>1211.22576</v>
      </c>
      <c r="L168" s="6">
        <v>1870.3683266</v>
      </c>
      <c r="M168" s="6">
        <v>3004.8470225</v>
      </c>
      <c r="N168" s="6">
        <v>2384.6295295</v>
      </c>
      <c r="O168" s="6">
        <v>2384.6295295</v>
      </c>
      <c r="P168" s="9">
        <v>26143.6408161</v>
      </c>
      <c r="Q168" s="11">
        <f t="shared" si="34"/>
        <v>0</v>
      </c>
      <c r="R168" s="11">
        <f t="shared" si="35"/>
        <v>0</v>
      </c>
      <c r="S168" s="11">
        <f t="shared" si="36"/>
        <v>0</v>
      </c>
      <c r="T168" s="11">
        <f t="shared" si="37"/>
        <v>0</v>
      </c>
      <c r="U168" s="11">
        <f t="shared" si="38"/>
        <v>0</v>
      </c>
      <c r="V168" s="11">
        <f t="shared" si="39"/>
        <v>0</v>
      </c>
      <c r="W168" s="11">
        <f t="shared" si="40"/>
        <v>0</v>
      </c>
      <c r="X168" s="11">
        <f t="shared" si="41"/>
        <v>0</v>
      </c>
      <c r="Y168" s="11">
        <f t="shared" si="42"/>
        <v>0</v>
      </c>
      <c r="Z168" s="11">
        <f t="shared" si="43"/>
        <v>0</v>
      </c>
      <c r="AA168" s="11">
        <f t="shared" si="44"/>
        <v>0</v>
      </c>
      <c r="AB168" s="11">
        <f t="shared" si="45"/>
        <v>0</v>
      </c>
      <c r="AC168" s="13">
        <f t="shared" si="31"/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3">
        <f t="shared" si="32"/>
        <v>0</v>
      </c>
      <c r="AQ168" s="16">
        <v>2183.553288</v>
      </c>
      <c r="AR168" s="16">
        <v>1906.51824</v>
      </c>
      <c r="AS168" s="16">
        <v>2146.28832</v>
      </c>
      <c r="AT168" s="16">
        <v>2818.8648</v>
      </c>
      <c r="AU168" s="16">
        <v>1858.7304</v>
      </c>
      <c r="AV168" s="16">
        <v>1987.52688</v>
      </c>
      <c r="AW168" s="16">
        <v>2386.45872</v>
      </c>
      <c r="AX168" s="16">
        <v>1211.22576</v>
      </c>
      <c r="AY168" s="16">
        <v>1870.3683266</v>
      </c>
      <c r="AZ168" s="16">
        <v>3004.8470225</v>
      </c>
      <c r="BA168" s="16">
        <v>2384.6295295</v>
      </c>
      <c r="BB168" s="16">
        <v>2384.6295295</v>
      </c>
      <c r="BC168" s="13">
        <f t="shared" si="33"/>
        <v>26143.6408161</v>
      </c>
    </row>
    <row r="169" spans="1:55">
      <c r="A169" s="4" t="s">
        <v>23</v>
      </c>
      <c r="B169" s="4" t="s">
        <v>342</v>
      </c>
      <c r="C169" s="4" t="s">
        <v>343</v>
      </c>
      <c r="D169" s="6">
        <v>6493.0572</v>
      </c>
      <c r="E169" s="6">
        <v>4312.63872</v>
      </c>
      <c r="F169" s="6">
        <v>6470.56512</v>
      </c>
      <c r="G169" s="6">
        <v>10304.13888</v>
      </c>
      <c r="H169" s="6">
        <v>5469.46992</v>
      </c>
      <c r="I169" s="6">
        <v>5991.9696</v>
      </c>
      <c r="J169" s="6">
        <v>8147.16</v>
      </c>
      <c r="K169" s="6">
        <v>4562.24256</v>
      </c>
      <c r="L169" s="6">
        <v>6262.691221</v>
      </c>
      <c r="M169" s="6">
        <v>10061.3493081</v>
      </c>
      <c r="N169" s="6">
        <v>7984.6296624</v>
      </c>
      <c r="O169" s="6">
        <v>7984.6296624</v>
      </c>
      <c r="P169" s="9">
        <v>84044.5418539</v>
      </c>
      <c r="Q169" s="11">
        <f t="shared" si="34"/>
        <v>0</v>
      </c>
      <c r="R169" s="11">
        <f t="shared" si="35"/>
        <v>0</v>
      </c>
      <c r="S169" s="11">
        <f t="shared" si="36"/>
        <v>0</v>
      </c>
      <c r="T169" s="11">
        <f t="shared" si="37"/>
        <v>0</v>
      </c>
      <c r="U169" s="11">
        <f t="shared" si="38"/>
        <v>0</v>
      </c>
      <c r="V169" s="11">
        <f t="shared" si="39"/>
        <v>0</v>
      </c>
      <c r="W169" s="11">
        <f t="shared" si="40"/>
        <v>0</v>
      </c>
      <c r="X169" s="11">
        <f t="shared" si="41"/>
        <v>0</v>
      </c>
      <c r="Y169" s="11">
        <f t="shared" si="42"/>
        <v>0</v>
      </c>
      <c r="Z169" s="11">
        <f t="shared" si="43"/>
        <v>0</v>
      </c>
      <c r="AA169" s="11">
        <f t="shared" si="44"/>
        <v>0</v>
      </c>
      <c r="AB169" s="11">
        <f t="shared" si="45"/>
        <v>0</v>
      </c>
      <c r="AC169" s="13">
        <f t="shared" si="31"/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3">
        <f t="shared" si="32"/>
        <v>0</v>
      </c>
      <c r="AQ169" s="16">
        <v>6493.0572</v>
      </c>
      <c r="AR169" s="16">
        <v>4312.63872</v>
      </c>
      <c r="AS169" s="16">
        <v>6470.56512</v>
      </c>
      <c r="AT169" s="16">
        <v>10304.13888</v>
      </c>
      <c r="AU169" s="16">
        <v>5469.46992</v>
      </c>
      <c r="AV169" s="16">
        <v>5991.9696</v>
      </c>
      <c r="AW169" s="16">
        <v>8147.16</v>
      </c>
      <c r="AX169" s="16">
        <v>4562.24256</v>
      </c>
      <c r="AY169" s="16">
        <v>6262.691221</v>
      </c>
      <c r="AZ169" s="16">
        <v>10061.3493081</v>
      </c>
      <c r="BA169" s="16">
        <v>7984.6296624</v>
      </c>
      <c r="BB169" s="16">
        <v>7984.6296624</v>
      </c>
      <c r="BC169" s="13">
        <f t="shared" si="33"/>
        <v>84044.5418539</v>
      </c>
    </row>
    <row r="170" spans="1:55">
      <c r="A170" s="4" t="s">
        <v>23</v>
      </c>
      <c r="B170" s="4" t="s">
        <v>344</v>
      </c>
      <c r="C170" s="4" t="s">
        <v>345</v>
      </c>
      <c r="D170" s="6">
        <v>10858.626072</v>
      </c>
      <c r="E170" s="6">
        <v>8502.0048</v>
      </c>
      <c r="F170" s="6">
        <v>10549.76688</v>
      </c>
      <c r="G170" s="6">
        <v>8558.31168</v>
      </c>
      <c r="H170" s="6">
        <v>5552.5176</v>
      </c>
      <c r="I170" s="6">
        <v>6446.75184</v>
      </c>
      <c r="J170" s="6">
        <v>10568.3904</v>
      </c>
      <c r="K170" s="6">
        <v>7068.13056</v>
      </c>
      <c r="L170" s="6">
        <v>8064.9751177</v>
      </c>
      <c r="M170" s="6">
        <v>12956.8150428</v>
      </c>
      <c r="N170" s="6">
        <v>10282.4548231</v>
      </c>
      <c r="O170" s="6">
        <v>10282.4548231</v>
      </c>
      <c r="P170" s="9">
        <v>109691.1996387</v>
      </c>
      <c r="Q170" s="11">
        <f t="shared" si="34"/>
        <v>0</v>
      </c>
      <c r="R170" s="11">
        <f t="shared" si="35"/>
        <v>0</v>
      </c>
      <c r="S170" s="11">
        <f t="shared" si="36"/>
        <v>0</v>
      </c>
      <c r="T170" s="11">
        <f t="shared" si="37"/>
        <v>0</v>
      </c>
      <c r="U170" s="11">
        <f t="shared" si="38"/>
        <v>0</v>
      </c>
      <c r="V170" s="11">
        <f t="shared" si="39"/>
        <v>0</v>
      </c>
      <c r="W170" s="11">
        <f t="shared" si="40"/>
        <v>0</v>
      </c>
      <c r="X170" s="11">
        <f t="shared" si="41"/>
        <v>0</v>
      </c>
      <c r="Y170" s="11">
        <f t="shared" si="42"/>
        <v>0</v>
      </c>
      <c r="Z170" s="11">
        <f t="shared" si="43"/>
        <v>0</v>
      </c>
      <c r="AA170" s="11">
        <f t="shared" si="44"/>
        <v>0</v>
      </c>
      <c r="AB170" s="11">
        <f t="shared" si="45"/>
        <v>0</v>
      </c>
      <c r="AC170" s="13">
        <f t="shared" si="31"/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3">
        <f t="shared" si="32"/>
        <v>0</v>
      </c>
      <c r="AQ170" s="16">
        <v>10858.626072</v>
      </c>
      <c r="AR170" s="16">
        <v>8502.0048</v>
      </c>
      <c r="AS170" s="16">
        <v>10549.76688</v>
      </c>
      <c r="AT170" s="16">
        <v>8558.31168</v>
      </c>
      <c r="AU170" s="16">
        <v>5552.5176</v>
      </c>
      <c r="AV170" s="16">
        <v>6446.75184</v>
      </c>
      <c r="AW170" s="16">
        <v>10568.3904</v>
      </c>
      <c r="AX170" s="16">
        <v>7068.13056</v>
      </c>
      <c r="AY170" s="16">
        <v>8064.9751177</v>
      </c>
      <c r="AZ170" s="16">
        <v>12956.8150428</v>
      </c>
      <c r="BA170" s="16">
        <v>10282.4548231</v>
      </c>
      <c r="BB170" s="16">
        <v>10282.4548231</v>
      </c>
      <c r="BC170" s="13">
        <f t="shared" si="33"/>
        <v>109691.1996387</v>
      </c>
    </row>
    <row r="171" spans="1:55">
      <c r="A171" s="4" t="s">
        <v>23</v>
      </c>
      <c r="B171" s="4" t="s">
        <v>346</v>
      </c>
      <c r="C171" s="4" t="s">
        <v>347</v>
      </c>
      <c r="D171" s="6">
        <v>2437.153488</v>
      </c>
      <c r="E171" s="6">
        <v>1760.81904</v>
      </c>
      <c r="F171" s="6">
        <v>2273.49072</v>
      </c>
      <c r="G171" s="6">
        <v>1921.36464</v>
      </c>
      <c r="H171" s="6">
        <v>1500.86592</v>
      </c>
      <c r="I171" s="6">
        <v>1502.40384</v>
      </c>
      <c r="J171" s="6">
        <v>2404.52496</v>
      </c>
      <c r="K171" s="6">
        <v>1818.94176</v>
      </c>
      <c r="L171" s="6">
        <v>1917.4720968</v>
      </c>
      <c r="M171" s="6">
        <v>3080.5217555</v>
      </c>
      <c r="N171" s="6">
        <v>2444.6845678</v>
      </c>
      <c r="O171" s="6">
        <v>2444.6845678</v>
      </c>
      <c r="P171" s="9">
        <v>25506.9273559</v>
      </c>
      <c r="Q171" s="11">
        <f t="shared" si="34"/>
        <v>0</v>
      </c>
      <c r="R171" s="11">
        <f t="shared" si="35"/>
        <v>0</v>
      </c>
      <c r="S171" s="11">
        <f t="shared" si="36"/>
        <v>0</v>
      </c>
      <c r="T171" s="11">
        <f t="shared" si="37"/>
        <v>0</v>
      </c>
      <c r="U171" s="11">
        <f t="shared" si="38"/>
        <v>0</v>
      </c>
      <c r="V171" s="11">
        <f t="shared" si="39"/>
        <v>0</v>
      </c>
      <c r="W171" s="11">
        <f t="shared" si="40"/>
        <v>0</v>
      </c>
      <c r="X171" s="11">
        <f t="shared" si="41"/>
        <v>0</v>
      </c>
      <c r="Y171" s="11">
        <f t="shared" si="42"/>
        <v>0</v>
      </c>
      <c r="Z171" s="11">
        <f t="shared" si="43"/>
        <v>0</v>
      </c>
      <c r="AA171" s="11">
        <f t="shared" si="44"/>
        <v>0</v>
      </c>
      <c r="AB171" s="11">
        <f t="shared" si="45"/>
        <v>0</v>
      </c>
      <c r="AC171" s="13">
        <f t="shared" si="31"/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3">
        <f t="shared" si="32"/>
        <v>0</v>
      </c>
      <c r="AQ171" s="16">
        <v>2437.153488</v>
      </c>
      <c r="AR171" s="16">
        <v>1760.81904</v>
      </c>
      <c r="AS171" s="16">
        <v>2273.49072</v>
      </c>
      <c r="AT171" s="16">
        <v>1921.36464</v>
      </c>
      <c r="AU171" s="16">
        <v>1500.86592</v>
      </c>
      <c r="AV171" s="16">
        <v>1502.40384</v>
      </c>
      <c r="AW171" s="16">
        <v>2404.52496</v>
      </c>
      <c r="AX171" s="16">
        <v>1818.94176</v>
      </c>
      <c r="AY171" s="16">
        <v>1917.4720968</v>
      </c>
      <c r="AZ171" s="16">
        <v>3080.5217555</v>
      </c>
      <c r="BA171" s="16">
        <v>2444.6845678</v>
      </c>
      <c r="BB171" s="16">
        <v>2444.6845678</v>
      </c>
      <c r="BC171" s="13">
        <f t="shared" si="33"/>
        <v>25506.9273559</v>
      </c>
    </row>
    <row r="172" spans="1:55">
      <c r="A172" s="4" t="s">
        <v>23</v>
      </c>
      <c r="B172" s="4" t="s">
        <v>348</v>
      </c>
      <c r="C172" s="4" t="s">
        <v>349</v>
      </c>
      <c r="D172" s="6">
        <v>60118.8659286</v>
      </c>
      <c r="E172" s="6">
        <v>49486.2989312</v>
      </c>
      <c r="F172" s="6">
        <v>48291.0255932</v>
      </c>
      <c r="G172" s="6">
        <v>67407.1987652</v>
      </c>
      <c r="H172" s="6">
        <v>68727.9196124</v>
      </c>
      <c r="I172" s="6">
        <v>75024.101143</v>
      </c>
      <c r="J172" s="6">
        <v>78713.054514</v>
      </c>
      <c r="K172" s="6">
        <v>65071.2972304</v>
      </c>
      <c r="L172" s="6">
        <v>72981.7401579</v>
      </c>
      <c r="M172" s="6">
        <v>69529.930501</v>
      </c>
      <c r="N172" s="6">
        <v>53131.9429395</v>
      </c>
      <c r="O172" s="6">
        <v>57660.5628588</v>
      </c>
      <c r="P172" s="9">
        <v>766143.9381752</v>
      </c>
      <c r="Q172" s="11">
        <f t="shared" si="34"/>
        <v>0</v>
      </c>
      <c r="R172" s="11">
        <f t="shared" si="35"/>
        <v>0</v>
      </c>
      <c r="S172" s="11">
        <f t="shared" si="36"/>
        <v>0</v>
      </c>
      <c r="T172" s="11">
        <f t="shared" si="37"/>
        <v>0</v>
      </c>
      <c r="U172" s="11">
        <f t="shared" si="38"/>
        <v>0</v>
      </c>
      <c r="V172" s="11">
        <f t="shared" si="39"/>
        <v>0</v>
      </c>
      <c r="W172" s="11">
        <f t="shared" si="40"/>
        <v>0</v>
      </c>
      <c r="X172" s="11">
        <f t="shared" si="41"/>
        <v>0</v>
      </c>
      <c r="Y172" s="11">
        <f t="shared" si="42"/>
        <v>0</v>
      </c>
      <c r="Z172" s="11">
        <f t="shared" si="43"/>
        <v>0</v>
      </c>
      <c r="AA172" s="11">
        <f t="shared" si="44"/>
        <v>0</v>
      </c>
      <c r="AB172" s="11">
        <f t="shared" si="45"/>
        <v>0</v>
      </c>
      <c r="AC172" s="13">
        <f t="shared" si="31"/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3">
        <f t="shared" si="32"/>
        <v>0</v>
      </c>
      <c r="AQ172" s="16">
        <v>60118.8659286</v>
      </c>
      <c r="AR172" s="16">
        <v>49486.2989312</v>
      </c>
      <c r="AS172" s="16">
        <v>48291.0255932</v>
      </c>
      <c r="AT172" s="16">
        <v>67407.1987652</v>
      </c>
      <c r="AU172" s="16">
        <v>68727.9196124</v>
      </c>
      <c r="AV172" s="16">
        <v>75024.101143</v>
      </c>
      <c r="AW172" s="16">
        <v>78713.054514</v>
      </c>
      <c r="AX172" s="16">
        <v>65071.2972304</v>
      </c>
      <c r="AY172" s="16">
        <v>72981.7401579</v>
      </c>
      <c r="AZ172" s="16">
        <v>69529.930501</v>
      </c>
      <c r="BA172" s="16">
        <v>53131.9429395</v>
      </c>
      <c r="BB172" s="16">
        <v>57660.5628588</v>
      </c>
      <c r="BC172" s="13">
        <f t="shared" si="33"/>
        <v>766143.9381752</v>
      </c>
    </row>
    <row r="173" spans="1:55">
      <c r="A173" s="4" t="s">
        <v>23</v>
      </c>
      <c r="B173" s="4" t="s">
        <v>350</v>
      </c>
      <c r="C173" s="4" t="s">
        <v>351</v>
      </c>
      <c r="D173" s="6">
        <v>46071.8171786</v>
      </c>
      <c r="E173" s="6">
        <v>38279.2647892</v>
      </c>
      <c r="F173" s="6">
        <v>37650.4099212</v>
      </c>
      <c r="G173" s="6">
        <v>54833.0176212</v>
      </c>
      <c r="H173" s="6">
        <v>48865.3828316</v>
      </c>
      <c r="I173" s="6">
        <v>61065.407399</v>
      </c>
      <c r="J173" s="6">
        <v>61109.292756</v>
      </c>
      <c r="K173" s="6">
        <v>52625.7189304</v>
      </c>
      <c r="L173" s="6">
        <v>57163.8941423</v>
      </c>
      <c r="M173" s="6">
        <v>59376.1791596</v>
      </c>
      <c r="N173" s="6">
        <v>41319.2520136</v>
      </c>
      <c r="O173" s="6">
        <v>44805.6951689</v>
      </c>
      <c r="P173" s="9">
        <v>603165.3319116</v>
      </c>
      <c r="Q173" s="11">
        <f t="shared" si="34"/>
        <v>0</v>
      </c>
      <c r="R173" s="11">
        <f t="shared" si="35"/>
        <v>0</v>
      </c>
      <c r="S173" s="11">
        <f t="shared" si="36"/>
        <v>0</v>
      </c>
      <c r="T173" s="11">
        <f t="shared" si="37"/>
        <v>0</v>
      </c>
      <c r="U173" s="11">
        <f t="shared" si="38"/>
        <v>0</v>
      </c>
      <c r="V173" s="11">
        <f t="shared" si="39"/>
        <v>0</v>
      </c>
      <c r="W173" s="11">
        <f t="shared" si="40"/>
        <v>0</v>
      </c>
      <c r="X173" s="11">
        <f t="shared" si="41"/>
        <v>0</v>
      </c>
      <c r="Y173" s="11">
        <f t="shared" si="42"/>
        <v>0</v>
      </c>
      <c r="Z173" s="11">
        <f t="shared" si="43"/>
        <v>0</v>
      </c>
      <c r="AA173" s="11">
        <f t="shared" si="44"/>
        <v>0</v>
      </c>
      <c r="AB173" s="11">
        <f t="shared" si="45"/>
        <v>0</v>
      </c>
      <c r="AC173" s="13">
        <f t="shared" si="31"/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3">
        <f t="shared" si="32"/>
        <v>0</v>
      </c>
      <c r="AQ173" s="16">
        <v>46071.8171786</v>
      </c>
      <c r="AR173" s="16">
        <v>38279.2647892</v>
      </c>
      <c r="AS173" s="16">
        <v>37650.4099212</v>
      </c>
      <c r="AT173" s="16">
        <v>54833.0176212</v>
      </c>
      <c r="AU173" s="16">
        <v>48865.3828316</v>
      </c>
      <c r="AV173" s="16">
        <v>61065.407399</v>
      </c>
      <c r="AW173" s="16">
        <v>61109.292756</v>
      </c>
      <c r="AX173" s="16">
        <v>52625.7189304</v>
      </c>
      <c r="AY173" s="16">
        <v>57163.8941423</v>
      </c>
      <c r="AZ173" s="16">
        <v>59376.1791596</v>
      </c>
      <c r="BA173" s="16">
        <v>41319.2520136</v>
      </c>
      <c r="BB173" s="16">
        <v>44805.6951689</v>
      </c>
      <c r="BC173" s="13">
        <f t="shared" si="33"/>
        <v>603165.3319116</v>
      </c>
    </row>
    <row r="174" spans="1:55">
      <c r="A174" s="4" t="s">
        <v>23</v>
      </c>
      <c r="B174" s="4" t="s">
        <v>352</v>
      </c>
      <c r="C174" s="4" t="s">
        <v>353</v>
      </c>
      <c r="D174" s="6">
        <v>27179.0552426</v>
      </c>
      <c r="E174" s="6">
        <v>25103.92339</v>
      </c>
      <c r="F174" s="6">
        <v>21261.208004</v>
      </c>
      <c r="G174" s="6">
        <v>31706.440654</v>
      </c>
      <c r="H174" s="6">
        <v>30801.5672996</v>
      </c>
      <c r="I174" s="6">
        <v>39426.600621</v>
      </c>
      <c r="J174" s="6">
        <v>40986.2725776</v>
      </c>
      <c r="K174" s="6">
        <v>37031.1816504</v>
      </c>
      <c r="L174" s="6">
        <v>34293.6863326</v>
      </c>
      <c r="M174" s="6">
        <v>36046.5957842</v>
      </c>
      <c r="N174" s="6">
        <v>24704.4230985</v>
      </c>
      <c r="O174" s="6">
        <v>26994.4058331</v>
      </c>
      <c r="P174" s="9">
        <v>375535.3604876</v>
      </c>
      <c r="Q174" s="11">
        <f t="shared" si="34"/>
        <v>0</v>
      </c>
      <c r="R174" s="11">
        <f t="shared" si="35"/>
        <v>0</v>
      </c>
      <c r="S174" s="11">
        <f t="shared" si="36"/>
        <v>0</v>
      </c>
      <c r="T174" s="11">
        <f t="shared" si="37"/>
        <v>0</v>
      </c>
      <c r="U174" s="11">
        <f t="shared" si="38"/>
        <v>0</v>
      </c>
      <c r="V174" s="11">
        <f t="shared" si="39"/>
        <v>0</v>
      </c>
      <c r="W174" s="11">
        <f t="shared" si="40"/>
        <v>0</v>
      </c>
      <c r="X174" s="11">
        <f t="shared" si="41"/>
        <v>0</v>
      </c>
      <c r="Y174" s="11">
        <f t="shared" si="42"/>
        <v>0</v>
      </c>
      <c r="Z174" s="11">
        <f t="shared" si="43"/>
        <v>0</v>
      </c>
      <c r="AA174" s="11">
        <f t="shared" si="44"/>
        <v>0</v>
      </c>
      <c r="AB174" s="11">
        <f t="shared" si="45"/>
        <v>0</v>
      </c>
      <c r="AC174" s="13">
        <f t="shared" si="31"/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3">
        <f t="shared" si="32"/>
        <v>0</v>
      </c>
      <c r="AQ174" s="16">
        <v>27179.0552426</v>
      </c>
      <c r="AR174" s="16">
        <v>25103.92339</v>
      </c>
      <c r="AS174" s="16">
        <v>21261.208004</v>
      </c>
      <c r="AT174" s="16">
        <v>31706.440654</v>
      </c>
      <c r="AU174" s="16">
        <v>30801.5672996</v>
      </c>
      <c r="AV174" s="16">
        <v>39426.600621</v>
      </c>
      <c r="AW174" s="16">
        <v>40986.2725776</v>
      </c>
      <c r="AX174" s="16">
        <v>37031.1816504</v>
      </c>
      <c r="AY174" s="16">
        <v>34293.6863326</v>
      </c>
      <c r="AZ174" s="16">
        <v>36046.5957842</v>
      </c>
      <c r="BA174" s="16">
        <v>24704.4230985</v>
      </c>
      <c r="BB174" s="16">
        <v>26994.4058331</v>
      </c>
      <c r="BC174" s="13">
        <f t="shared" si="33"/>
        <v>375535.3604876</v>
      </c>
    </row>
    <row r="175" spans="1:55">
      <c r="A175" s="4" t="s">
        <v>23</v>
      </c>
      <c r="B175" s="4" t="s">
        <v>354</v>
      </c>
      <c r="C175" s="4" t="s">
        <v>355</v>
      </c>
      <c r="D175" s="6">
        <v>36714.2943278</v>
      </c>
      <c r="E175" s="6">
        <v>30967.1980588</v>
      </c>
      <c r="F175" s="6">
        <v>31101.5152988</v>
      </c>
      <c r="G175" s="6">
        <v>45679.3341288</v>
      </c>
      <c r="H175" s="6">
        <v>40221.689738</v>
      </c>
      <c r="I175" s="6">
        <v>53489.419229</v>
      </c>
      <c r="J175" s="6">
        <v>54469.714028</v>
      </c>
      <c r="K175" s="6">
        <v>45479.9005608</v>
      </c>
      <c r="L175" s="6">
        <v>47409.3603532</v>
      </c>
      <c r="M175" s="6">
        <v>47632.5586243</v>
      </c>
      <c r="N175" s="6">
        <v>35453.6288403</v>
      </c>
      <c r="O175" s="6">
        <v>38422.0395703</v>
      </c>
      <c r="P175" s="9">
        <v>507040.6527581</v>
      </c>
      <c r="Q175" s="11">
        <f t="shared" si="34"/>
        <v>0</v>
      </c>
      <c r="R175" s="11">
        <f t="shared" si="35"/>
        <v>0</v>
      </c>
      <c r="S175" s="11">
        <f t="shared" si="36"/>
        <v>0</v>
      </c>
      <c r="T175" s="11">
        <f t="shared" si="37"/>
        <v>0</v>
      </c>
      <c r="U175" s="11">
        <f t="shared" si="38"/>
        <v>0</v>
      </c>
      <c r="V175" s="11">
        <f t="shared" si="39"/>
        <v>0</v>
      </c>
      <c r="W175" s="11">
        <f t="shared" si="40"/>
        <v>0</v>
      </c>
      <c r="X175" s="11">
        <f t="shared" si="41"/>
        <v>0</v>
      </c>
      <c r="Y175" s="11">
        <f t="shared" si="42"/>
        <v>0</v>
      </c>
      <c r="Z175" s="11">
        <f t="shared" si="43"/>
        <v>0</v>
      </c>
      <c r="AA175" s="11">
        <f t="shared" si="44"/>
        <v>0</v>
      </c>
      <c r="AB175" s="11">
        <f t="shared" si="45"/>
        <v>0</v>
      </c>
      <c r="AC175" s="13">
        <f t="shared" si="31"/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3">
        <f t="shared" si="32"/>
        <v>0</v>
      </c>
      <c r="AQ175" s="16">
        <v>36714.2943278</v>
      </c>
      <c r="AR175" s="16">
        <v>30967.1980588</v>
      </c>
      <c r="AS175" s="16">
        <v>31101.5152988</v>
      </c>
      <c r="AT175" s="16">
        <v>45679.3341288</v>
      </c>
      <c r="AU175" s="16">
        <v>40221.689738</v>
      </c>
      <c r="AV175" s="16">
        <v>53489.419229</v>
      </c>
      <c r="AW175" s="16">
        <v>54469.714028</v>
      </c>
      <c r="AX175" s="16">
        <v>45479.9005608</v>
      </c>
      <c r="AY175" s="16">
        <v>47409.3603532</v>
      </c>
      <c r="AZ175" s="16">
        <v>47632.5586243</v>
      </c>
      <c r="BA175" s="16">
        <v>35453.6288403</v>
      </c>
      <c r="BB175" s="16">
        <v>38422.0395703</v>
      </c>
      <c r="BC175" s="13">
        <f t="shared" si="33"/>
        <v>507040.6527581</v>
      </c>
    </row>
    <row r="176" spans="1:55">
      <c r="A176" s="4" t="s">
        <v>23</v>
      </c>
      <c r="B176" s="4" t="s">
        <v>356</v>
      </c>
      <c r="C176" s="4" t="s">
        <v>357</v>
      </c>
      <c r="D176" s="6">
        <v>31361.6108086</v>
      </c>
      <c r="E176" s="6">
        <v>26969.6864812</v>
      </c>
      <c r="F176" s="6">
        <v>24474.6458372</v>
      </c>
      <c r="G176" s="6">
        <v>36136.4744444</v>
      </c>
      <c r="H176" s="6">
        <v>33126.3228068</v>
      </c>
      <c r="I176" s="6">
        <v>47149.0096706</v>
      </c>
      <c r="J176" s="6">
        <v>45187.0774108</v>
      </c>
      <c r="K176" s="6">
        <v>40929.3970392</v>
      </c>
      <c r="L176" s="6">
        <v>40329.8910661</v>
      </c>
      <c r="M176" s="6">
        <v>41541.0142542</v>
      </c>
      <c r="N176" s="6">
        <v>29715.8150724</v>
      </c>
      <c r="O176" s="6">
        <v>32072.065119</v>
      </c>
      <c r="P176" s="9">
        <v>428993.0100105</v>
      </c>
      <c r="Q176" s="11">
        <f t="shared" si="34"/>
        <v>0</v>
      </c>
      <c r="R176" s="11">
        <f t="shared" si="35"/>
        <v>0</v>
      </c>
      <c r="S176" s="11">
        <f t="shared" si="36"/>
        <v>0</v>
      </c>
      <c r="T176" s="11">
        <f t="shared" si="37"/>
        <v>0</v>
      </c>
      <c r="U176" s="11">
        <f t="shared" si="38"/>
        <v>0</v>
      </c>
      <c r="V176" s="11">
        <f t="shared" si="39"/>
        <v>0</v>
      </c>
      <c r="W176" s="11">
        <f t="shared" si="40"/>
        <v>0</v>
      </c>
      <c r="X176" s="11">
        <f t="shared" si="41"/>
        <v>0</v>
      </c>
      <c r="Y176" s="11">
        <f t="shared" si="42"/>
        <v>0</v>
      </c>
      <c r="Z176" s="11">
        <f t="shared" si="43"/>
        <v>0</v>
      </c>
      <c r="AA176" s="11">
        <f t="shared" si="44"/>
        <v>0</v>
      </c>
      <c r="AB176" s="11">
        <f t="shared" si="45"/>
        <v>0</v>
      </c>
      <c r="AC176" s="13">
        <f t="shared" si="31"/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3">
        <f t="shared" si="32"/>
        <v>0</v>
      </c>
      <c r="AQ176" s="16">
        <v>31361.6108086</v>
      </c>
      <c r="AR176" s="16">
        <v>26969.6864812</v>
      </c>
      <c r="AS176" s="16">
        <v>24474.6458372</v>
      </c>
      <c r="AT176" s="16">
        <v>36136.4744444</v>
      </c>
      <c r="AU176" s="16">
        <v>33126.3228068</v>
      </c>
      <c r="AV176" s="16">
        <v>47149.0096706</v>
      </c>
      <c r="AW176" s="16">
        <v>45187.0774108</v>
      </c>
      <c r="AX176" s="16">
        <v>40929.3970392</v>
      </c>
      <c r="AY176" s="16">
        <v>40329.8910661</v>
      </c>
      <c r="AZ176" s="16">
        <v>41541.0142542</v>
      </c>
      <c r="BA176" s="16">
        <v>29715.8150724</v>
      </c>
      <c r="BB176" s="16">
        <v>32072.065119</v>
      </c>
      <c r="BC176" s="13">
        <f t="shared" si="33"/>
        <v>428993.0100105</v>
      </c>
    </row>
    <row r="177" spans="1:55">
      <c r="A177" s="4" t="s">
        <v>23</v>
      </c>
      <c r="B177" s="4" t="s">
        <v>358</v>
      </c>
      <c r="C177" s="4" t="s">
        <v>359</v>
      </c>
      <c r="D177" s="6">
        <v>27707.7907426</v>
      </c>
      <c r="E177" s="6">
        <v>23938.3751232</v>
      </c>
      <c r="F177" s="6">
        <v>21391.1335412</v>
      </c>
      <c r="G177" s="6">
        <v>33495.66498</v>
      </c>
      <c r="H177" s="6">
        <v>29957.78458</v>
      </c>
      <c r="I177" s="6">
        <v>40340.8202984</v>
      </c>
      <c r="J177" s="6">
        <v>34345.6954472</v>
      </c>
      <c r="K177" s="6">
        <v>35659.7190112</v>
      </c>
      <c r="L177" s="6">
        <v>31202.612787</v>
      </c>
      <c r="M177" s="6">
        <v>30922.7073516</v>
      </c>
      <c r="N177" s="6">
        <v>23255.675132</v>
      </c>
      <c r="O177" s="6">
        <v>25084.7820018</v>
      </c>
      <c r="P177" s="9">
        <v>357302.7609962</v>
      </c>
      <c r="Q177" s="11">
        <f t="shared" si="34"/>
        <v>0</v>
      </c>
      <c r="R177" s="11">
        <f t="shared" si="35"/>
        <v>0</v>
      </c>
      <c r="S177" s="11">
        <f t="shared" si="36"/>
        <v>0</v>
      </c>
      <c r="T177" s="11">
        <f t="shared" si="37"/>
        <v>0</v>
      </c>
      <c r="U177" s="11">
        <f t="shared" si="38"/>
        <v>0</v>
      </c>
      <c r="V177" s="11">
        <f t="shared" si="39"/>
        <v>0</v>
      </c>
      <c r="W177" s="11">
        <f t="shared" si="40"/>
        <v>0</v>
      </c>
      <c r="X177" s="11">
        <f t="shared" si="41"/>
        <v>0</v>
      </c>
      <c r="Y177" s="11">
        <f t="shared" si="42"/>
        <v>0</v>
      </c>
      <c r="Z177" s="11">
        <f t="shared" si="43"/>
        <v>0</v>
      </c>
      <c r="AA177" s="11">
        <f t="shared" si="44"/>
        <v>0</v>
      </c>
      <c r="AB177" s="11">
        <f t="shared" si="45"/>
        <v>0</v>
      </c>
      <c r="AC177" s="13">
        <f t="shared" si="31"/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3">
        <f t="shared" si="32"/>
        <v>0</v>
      </c>
      <c r="AQ177" s="16">
        <v>27707.7907426</v>
      </c>
      <c r="AR177" s="16">
        <v>23938.3751232</v>
      </c>
      <c r="AS177" s="16">
        <v>21391.1335412</v>
      </c>
      <c r="AT177" s="16">
        <v>33495.66498</v>
      </c>
      <c r="AU177" s="16">
        <v>29957.78458</v>
      </c>
      <c r="AV177" s="16">
        <v>40340.8202984</v>
      </c>
      <c r="AW177" s="16">
        <v>34345.6954472</v>
      </c>
      <c r="AX177" s="16">
        <v>35659.7190112</v>
      </c>
      <c r="AY177" s="16">
        <v>31202.612787</v>
      </c>
      <c r="AZ177" s="16">
        <v>30922.7073516</v>
      </c>
      <c r="BA177" s="16">
        <v>23255.675132</v>
      </c>
      <c r="BB177" s="16">
        <v>25084.7820018</v>
      </c>
      <c r="BC177" s="13">
        <f t="shared" si="33"/>
        <v>357302.7609962</v>
      </c>
    </row>
    <row r="178" spans="1:55">
      <c r="A178" s="4" t="s">
        <v>23</v>
      </c>
      <c r="B178" s="4" t="s">
        <v>360</v>
      </c>
      <c r="C178" s="4" t="s">
        <v>361</v>
      </c>
      <c r="D178" s="6">
        <v>8800.02336</v>
      </c>
      <c r="E178" s="6">
        <v>12231.23328</v>
      </c>
      <c r="F178" s="6">
        <v>8667.71976</v>
      </c>
      <c r="G178" s="6">
        <v>14504.97168</v>
      </c>
      <c r="H178" s="6">
        <v>13539.0516876</v>
      </c>
      <c r="I178" s="6">
        <v>16947.98424</v>
      </c>
      <c r="J178" s="6">
        <v>18171.18672</v>
      </c>
      <c r="K178" s="6">
        <v>20735.7348444</v>
      </c>
      <c r="L178" s="6">
        <v>15948.5425261</v>
      </c>
      <c r="M178" s="6">
        <v>16207.0675771</v>
      </c>
      <c r="N178" s="6">
        <v>11539.229318</v>
      </c>
      <c r="O178" s="6">
        <v>12396.4024577</v>
      </c>
      <c r="P178" s="9">
        <v>169689.1474509</v>
      </c>
      <c r="Q178" s="11">
        <f t="shared" si="34"/>
        <v>8800.02336</v>
      </c>
      <c r="R178" s="11">
        <f t="shared" si="35"/>
        <v>12231.23328</v>
      </c>
      <c r="S178" s="11">
        <f t="shared" si="36"/>
        <v>8667.71976</v>
      </c>
      <c r="T178" s="11">
        <f t="shared" si="37"/>
        <v>14504.97168</v>
      </c>
      <c r="U178" s="11">
        <f t="shared" si="38"/>
        <v>13539.0516876</v>
      </c>
      <c r="V178" s="11">
        <f t="shared" si="39"/>
        <v>16947.98424</v>
      </c>
      <c r="W178" s="11">
        <f t="shared" si="40"/>
        <v>18171.18672</v>
      </c>
      <c r="X178" s="11">
        <f t="shared" si="41"/>
        <v>20735.7348444</v>
      </c>
      <c r="Y178" s="11">
        <f t="shared" si="42"/>
        <v>15948.5425261</v>
      </c>
      <c r="Z178" s="11">
        <f t="shared" si="43"/>
        <v>16207.0675771</v>
      </c>
      <c r="AA178" s="11">
        <f t="shared" si="44"/>
        <v>11539.229318</v>
      </c>
      <c r="AB178" s="11">
        <f t="shared" si="45"/>
        <v>12396.4024577</v>
      </c>
      <c r="AC178" s="13">
        <f t="shared" si="31"/>
        <v>169689.1474509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3">
        <f t="shared" si="32"/>
        <v>0</v>
      </c>
      <c r="AQ178" s="16">
        <v>0</v>
      </c>
      <c r="AR178" s="16">
        <v>0</v>
      </c>
      <c r="AS178" s="16">
        <v>0</v>
      </c>
      <c r="AT178" s="16">
        <v>0</v>
      </c>
      <c r="AU178" s="16">
        <v>0</v>
      </c>
      <c r="AV178" s="16">
        <v>0</v>
      </c>
      <c r="AW178" s="16">
        <v>0</v>
      </c>
      <c r="AX178" s="16">
        <v>0</v>
      </c>
      <c r="AY178" s="16">
        <v>0</v>
      </c>
      <c r="AZ178" s="16">
        <v>0</v>
      </c>
      <c r="BA178" s="16">
        <v>0</v>
      </c>
      <c r="BB178" s="16">
        <v>0</v>
      </c>
      <c r="BC178" s="13">
        <f t="shared" si="33"/>
        <v>0</v>
      </c>
    </row>
    <row r="179" spans="1:55">
      <c r="A179" s="4" t="s">
        <v>23</v>
      </c>
      <c r="B179" s="4" t="s">
        <v>362</v>
      </c>
      <c r="C179" s="4" t="s">
        <v>363</v>
      </c>
      <c r="D179" s="6">
        <v>3698.7809544</v>
      </c>
      <c r="E179" s="6">
        <v>5060.449296</v>
      </c>
      <c r="F179" s="6">
        <v>4547.65752</v>
      </c>
      <c r="G179" s="6">
        <v>5210.627184</v>
      </c>
      <c r="H179" s="6">
        <v>5190.236352</v>
      </c>
      <c r="I179" s="6">
        <v>5692.658832</v>
      </c>
      <c r="J179" s="6">
        <v>5643.316224</v>
      </c>
      <c r="K179" s="6">
        <v>4273.368624</v>
      </c>
      <c r="L179" s="6">
        <v>5227.2367393</v>
      </c>
      <c r="M179" s="6">
        <v>8397.8361529</v>
      </c>
      <c r="N179" s="6">
        <v>6664.4750712</v>
      </c>
      <c r="O179" s="6">
        <v>6664.4750712</v>
      </c>
      <c r="P179" s="9">
        <v>66271.118021</v>
      </c>
      <c r="Q179" s="11">
        <f t="shared" si="34"/>
        <v>3698.7809544</v>
      </c>
      <c r="R179" s="11">
        <f t="shared" si="35"/>
        <v>5060.449296</v>
      </c>
      <c r="S179" s="11">
        <f t="shared" si="36"/>
        <v>4547.65752</v>
      </c>
      <c r="T179" s="11">
        <f t="shared" si="37"/>
        <v>5210.627184</v>
      </c>
      <c r="U179" s="11">
        <f t="shared" si="38"/>
        <v>5190.236352</v>
      </c>
      <c r="V179" s="11">
        <f t="shared" si="39"/>
        <v>5692.658832</v>
      </c>
      <c r="W179" s="11">
        <f t="shared" si="40"/>
        <v>5643.316224</v>
      </c>
      <c r="X179" s="11">
        <f t="shared" si="41"/>
        <v>4273.368624</v>
      </c>
      <c r="Y179" s="11">
        <f t="shared" si="42"/>
        <v>5227.2367393</v>
      </c>
      <c r="Z179" s="11">
        <f t="shared" si="43"/>
        <v>8397.8361529</v>
      </c>
      <c r="AA179" s="11">
        <f t="shared" si="44"/>
        <v>6664.4750712</v>
      </c>
      <c r="AB179" s="11">
        <f t="shared" si="45"/>
        <v>6664.4750712</v>
      </c>
      <c r="AC179" s="13">
        <f t="shared" si="31"/>
        <v>66271.118021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3">
        <f t="shared" si="32"/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>
        <v>0</v>
      </c>
      <c r="BB179" s="16">
        <v>0</v>
      </c>
      <c r="BC179" s="13">
        <f t="shared" si="33"/>
        <v>0</v>
      </c>
    </row>
    <row r="180" spans="1:55">
      <c r="A180" s="4" t="s">
        <v>23</v>
      </c>
      <c r="B180" s="4" t="s">
        <v>364</v>
      </c>
      <c r="C180" s="4" t="s">
        <v>365</v>
      </c>
      <c r="D180" s="6">
        <v>533.760192</v>
      </c>
      <c r="E180" s="6">
        <v>4494.864384</v>
      </c>
      <c r="F180" s="6">
        <v>1747.8144</v>
      </c>
      <c r="G180" s="6">
        <v>4629.837312</v>
      </c>
      <c r="H180" s="6">
        <v>2490.971904</v>
      </c>
      <c r="I180" s="6">
        <v>1931.344128</v>
      </c>
      <c r="J180" s="6">
        <v>2330.625024</v>
      </c>
      <c r="K180" s="6">
        <v>1619.002368</v>
      </c>
      <c r="L180" s="6">
        <v>1969.4121049</v>
      </c>
      <c r="M180" s="6">
        <v>3163.9661639</v>
      </c>
      <c r="N180" s="6">
        <v>2510.9055764</v>
      </c>
      <c r="O180" s="6">
        <v>2510.9055764</v>
      </c>
      <c r="P180" s="9">
        <v>29933.4091336</v>
      </c>
      <c r="Q180" s="11">
        <f t="shared" si="34"/>
        <v>0</v>
      </c>
      <c r="R180" s="11">
        <f t="shared" si="35"/>
        <v>0</v>
      </c>
      <c r="S180" s="11">
        <f t="shared" si="36"/>
        <v>0</v>
      </c>
      <c r="T180" s="11">
        <f t="shared" si="37"/>
        <v>0</v>
      </c>
      <c r="U180" s="11">
        <f t="shared" si="38"/>
        <v>0</v>
      </c>
      <c r="V180" s="11">
        <f t="shared" si="39"/>
        <v>0</v>
      </c>
      <c r="W180" s="11">
        <f t="shared" si="40"/>
        <v>0</v>
      </c>
      <c r="X180" s="11">
        <f t="shared" si="41"/>
        <v>0</v>
      </c>
      <c r="Y180" s="11">
        <f t="shared" si="42"/>
        <v>0</v>
      </c>
      <c r="Z180" s="11">
        <f t="shared" si="43"/>
        <v>0</v>
      </c>
      <c r="AA180" s="11">
        <f t="shared" si="44"/>
        <v>0</v>
      </c>
      <c r="AB180" s="11">
        <f t="shared" si="45"/>
        <v>0</v>
      </c>
      <c r="AC180" s="13">
        <f t="shared" si="31"/>
        <v>0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0</v>
      </c>
      <c r="AP180" s="13">
        <f t="shared" si="32"/>
        <v>0</v>
      </c>
      <c r="AQ180" s="16">
        <v>533.760192</v>
      </c>
      <c r="AR180" s="16">
        <v>4494.864384</v>
      </c>
      <c r="AS180" s="16">
        <v>1747.8144</v>
      </c>
      <c r="AT180" s="16">
        <v>4629.837312</v>
      </c>
      <c r="AU180" s="16">
        <v>2490.971904</v>
      </c>
      <c r="AV180" s="16">
        <v>1931.344128</v>
      </c>
      <c r="AW180" s="16">
        <v>2330.625024</v>
      </c>
      <c r="AX180" s="16">
        <v>1619.002368</v>
      </c>
      <c r="AY180" s="16">
        <v>1969.4121049</v>
      </c>
      <c r="AZ180" s="16">
        <v>3163.9661639</v>
      </c>
      <c r="BA180" s="16">
        <v>2510.9055764</v>
      </c>
      <c r="BB180" s="16">
        <v>2510.9055764</v>
      </c>
      <c r="BC180" s="13">
        <f t="shared" si="33"/>
        <v>29933.4091336</v>
      </c>
    </row>
    <row r="181" spans="1:55">
      <c r="A181" s="4" t="s">
        <v>23</v>
      </c>
      <c r="B181" s="4" t="s">
        <v>366</v>
      </c>
      <c r="C181" s="4" t="s">
        <v>367</v>
      </c>
      <c r="D181" s="6">
        <v>6458.43456</v>
      </c>
      <c r="E181" s="6">
        <v>0</v>
      </c>
      <c r="F181" s="6">
        <v>0</v>
      </c>
      <c r="G181" s="6">
        <v>0</v>
      </c>
      <c r="H181" s="6">
        <v>476.1904762</v>
      </c>
      <c r="I181" s="6">
        <v>0</v>
      </c>
      <c r="J181" s="6">
        <v>0</v>
      </c>
      <c r="K181" s="6">
        <v>0</v>
      </c>
      <c r="L181" s="6">
        <v>-476.1904762</v>
      </c>
      <c r="M181" s="6">
        <v>0</v>
      </c>
      <c r="N181" s="6">
        <v>0</v>
      </c>
      <c r="O181" s="6">
        <v>0</v>
      </c>
      <c r="P181" s="9">
        <v>6458.43456</v>
      </c>
      <c r="Q181" s="11">
        <f t="shared" si="34"/>
        <v>0</v>
      </c>
      <c r="R181" s="11">
        <f t="shared" si="35"/>
        <v>0</v>
      </c>
      <c r="S181" s="11">
        <f t="shared" si="36"/>
        <v>0</v>
      </c>
      <c r="T181" s="11">
        <f t="shared" si="37"/>
        <v>0</v>
      </c>
      <c r="U181" s="11">
        <f t="shared" si="38"/>
        <v>0</v>
      </c>
      <c r="V181" s="11">
        <f t="shared" si="39"/>
        <v>0</v>
      </c>
      <c r="W181" s="11">
        <f t="shared" si="40"/>
        <v>0</v>
      </c>
      <c r="X181" s="11">
        <f t="shared" si="41"/>
        <v>0</v>
      </c>
      <c r="Y181" s="11">
        <f t="shared" si="42"/>
        <v>0</v>
      </c>
      <c r="Z181" s="11">
        <f t="shared" si="43"/>
        <v>0</v>
      </c>
      <c r="AA181" s="11">
        <f t="shared" si="44"/>
        <v>0</v>
      </c>
      <c r="AB181" s="11">
        <f t="shared" si="45"/>
        <v>0</v>
      </c>
      <c r="AC181" s="13">
        <f t="shared" si="31"/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3">
        <f t="shared" si="32"/>
        <v>0</v>
      </c>
      <c r="AQ181" s="16">
        <v>6458.43456</v>
      </c>
      <c r="AR181" s="16">
        <v>0</v>
      </c>
      <c r="AS181" s="16">
        <v>0</v>
      </c>
      <c r="AT181" s="16">
        <v>0</v>
      </c>
      <c r="AU181" s="16">
        <v>476.1904762</v>
      </c>
      <c r="AV181" s="16">
        <v>0</v>
      </c>
      <c r="AW181" s="16">
        <v>0</v>
      </c>
      <c r="AX181" s="16">
        <v>0</v>
      </c>
      <c r="AY181" s="16">
        <v>-476.1904762</v>
      </c>
      <c r="AZ181" s="16">
        <v>0</v>
      </c>
      <c r="BA181" s="16">
        <v>0</v>
      </c>
      <c r="BB181" s="16">
        <v>0</v>
      </c>
      <c r="BC181" s="13">
        <f t="shared" si="33"/>
        <v>6458.43456</v>
      </c>
    </row>
    <row r="182" spans="1:55">
      <c r="A182" s="4" t="s">
        <v>23</v>
      </c>
      <c r="B182" s="4" t="s">
        <v>368</v>
      </c>
      <c r="C182" s="4" t="s">
        <v>369</v>
      </c>
      <c r="D182" s="6">
        <v>14525.73756</v>
      </c>
      <c r="E182" s="6">
        <v>11954.46624</v>
      </c>
      <c r="F182" s="6">
        <v>7907.66592</v>
      </c>
      <c r="G182" s="6">
        <v>13741.6401867</v>
      </c>
      <c r="H182" s="6">
        <v>15775.9258675</v>
      </c>
      <c r="I182" s="6">
        <v>15053.27748</v>
      </c>
      <c r="J182" s="6">
        <v>17736.1607867</v>
      </c>
      <c r="K182" s="6">
        <v>23152.7348577</v>
      </c>
      <c r="L182" s="6">
        <v>16328.0309903</v>
      </c>
      <c r="M182" s="6">
        <v>16816.3078931</v>
      </c>
      <c r="N182" s="6">
        <v>12454.8923209</v>
      </c>
      <c r="O182" s="6">
        <v>13286.7850473</v>
      </c>
      <c r="P182" s="9">
        <v>178733.6251502</v>
      </c>
      <c r="Q182" s="11">
        <f t="shared" si="34"/>
        <v>0</v>
      </c>
      <c r="R182" s="11">
        <f t="shared" si="35"/>
        <v>0</v>
      </c>
      <c r="S182" s="11">
        <f t="shared" si="36"/>
        <v>0</v>
      </c>
      <c r="T182" s="11">
        <f t="shared" si="37"/>
        <v>0</v>
      </c>
      <c r="U182" s="11">
        <f t="shared" si="38"/>
        <v>0</v>
      </c>
      <c r="V182" s="11">
        <f t="shared" si="39"/>
        <v>0</v>
      </c>
      <c r="W182" s="11">
        <f t="shared" si="40"/>
        <v>0</v>
      </c>
      <c r="X182" s="11">
        <f t="shared" si="41"/>
        <v>0</v>
      </c>
      <c r="Y182" s="11">
        <f t="shared" si="42"/>
        <v>0</v>
      </c>
      <c r="Z182" s="11">
        <f t="shared" si="43"/>
        <v>0</v>
      </c>
      <c r="AA182" s="11">
        <f t="shared" si="44"/>
        <v>0</v>
      </c>
      <c r="AB182" s="11">
        <f t="shared" si="45"/>
        <v>0</v>
      </c>
      <c r="AC182" s="13">
        <f t="shared" si="31"/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3">
        <f t="shared" si="32"/>
        <v>0</v>
      </c>
      <c r="AQ182" s="16">
        <v>14525.73756</v>
      </c>
      <c r="AR182" s="16">
        <v>11954.46624</v>
      </c>
      <c r="AS182" s="16">
        <v>7907.66592</v>
      </c>
      <c r="AT182" s="16">
        <v>13741.6401867</v>
      </c>
      <c r="AU182" s="16">
        <v>15775.9258675</v>
      </c>
      <c r="AV182" s="16">
        <v>15053.27748</v>
      </c>
      <c r="AW182" s="16">
        <v>17736.1607867</v>
      </c>
      <c r="AX182" s="16">
        <v>23152.7348577</v>
      </c>
      <c r="AY182" s="16">
        <v>16328.0309903</v>
      </c>
      <c r="AZ182" s="16">
        <v>16816.3078931</v>
      </c>
      <c r="BA182" s="16">
        <v>12454.8923209</v>
      </c>
      <c r="BB182" s="16">
        <v>13286.7850473</v>
      </c>
      <c r="BC182" s="13">
        <f t="shared" si="33"/>
        <v>178733.6251502</v>
      </c>
    </row>
    <row r="183" spans="1:55">
      <c r="A183" s="4" t="s">
        <v>23</v>
      </c>
      <c r="B183" s="4" t="s">
        <v>370</v>
      </c>
      <c r="C183" s="4" t="s">
        <v>371</v>
      </c>
      <c r="D183" s="6">
        <v>66611.6066554</v>
      </c>
      <c r="E183" s="6">
        <v>59360.2181825</v>
      </c>
      <c r="F183" s="6">
        <v>49774.12872</v>
      </c>
      <c r="G183" s="6">
        <v>70451.126304</v>
      </c>
      <c r="H183" s="6">
        <v>75492.9095582</v>
      </c>
      <c r="I183" s="6">
        <v>63631.7644056</v>
      </c>
      <c r="J183" s="6">
        <v>62600.6683272</v>
      </c>
      <c r="K183" s="6">
        <v>70466.3814804</v>
      </c>
      <c r="L183" s="6">
        <v>76282.1366856</v>
      </c>
      <c r="M183" s="6">
        <v>60293.3661325</v>
      </c>
      <c r="N183" s="6">
        <v>43934.233862</v>
      </c>
      <c r="O183" s="6">
        <v>48811.7766354</v>
      </c>
      <c r="P183" s="9">
        <v>747710.3169488</v>
      </c>
      <c r="Q183" s="11">
        <f t="shared" si="34"/>
        <v>66611.6066554</v>
      </c>
      <c r="R183" s="11">
        <f t="shared" si="35"/>
        <v>59360.2181825</v>
      </c>
      <c r="S183" s="11">
        <f t="shared" si="36"/>
        <v>49774.12872</v>
      </c>
      <c r="T183" s="11">
        <f t="shared" si="37"/>
        <v>70451.126304</v>
      </c>
      <c r="U183" s="11">
        <f t="shared" si="38"/>
        <v>75492.9095582</v>
      </c>
      <c r="V183" s="11">
        <f t="shared" si="39"/>
        <v>63631.7644056</v>
      </c>
      <c r="W183" s="11">
        <f t="shared" si="40"/>
        <v>62600.6683272</v>
      </c>
      <c r="X183" s="11">
        <f t="shared" si="41"/>
        <v>70466.3814804</v>
      </c>
      <c r="Y183" s="11">
        <f t="shared" si="42"/>
        <v>76282.1366856</v>
      </c>
      <c r="Z183" s="11">
        <f t="shared" si="43"/>
        <v>60293.3661325</v>
      </c>
      <c r="AA183" s="11">
        <f t="shared" si="44"/>
        <v>43934.233862</v>
      </c>
      <c r="AB183" s="11">
        <f t="shared" si="45"/>
        <v>48811.7766354</v>
      </c>
      <c r="AC183" s="13">
        <f t="shared" si="31"/>
        <v>747710.3169488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3">
        <f t="shared" si="32"/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3">
        <f t="shared" si="33"/>
        <v>0</v>
      </c>
    </row>
    <row r="184" spans="1:55">
      <c r="A184" s="4" t="s">
        <v>23</v>
      </c>
      <c r="B184" s="4" t="s">
        <v>372</v>
      </c>
      <c r="C184" s="4" t="s">
        <v>373</v>
      </c>
      <c r="D184" s="6">
        <v>75257.9143584</v>
      </c>
      <c r="E184" s="6">
        <v>72108.7633241</v>
      </c>
      <c r="F184" s="6">
        <v>56837.1388896</v>
      </c>
      <c r="G184" s="6">
        <v>80912.7932928</v>
      </c>
      <c r="H184" s="6">
        <v>81881.982707</v>
      </c>
      <c r="I184" s="6">
        <v>87759.1091916</v>
      </c>
      <c r="J184" s="6">
        <v>82896.4867872</v>
      </c>
      <c r="K184" s="6">
        <v>77039.0563572</v>
      </c>
      <c r="L184" s="6">
        <v>82422.1527287</v>
      </c>
      <c r="M184" s="6">
        <v>75496.8265657</v>
      </c>
      <c r="N184" s="6">
        <v>60226.1153272</v>
      </c>
      <c r="O184" s="6">
        <v>64692.4586026</v>
      </c>
      <c r="P184" s="9">
        <v>897530.7981321</v>
      </c>
      <c r="Q184" s="11">
        <f t="shared" si="34"/>
        <v>0</v>
      </c>
      <c r="R184" s="11">
        <f t="shared" si="35"/>
        <v>0</v>
      </c>
      <c r="S184" s="11">
        <f t="shared" si="36"/>
        <v>0</v>
      </c>
      <c r="T184" s="11">
        <f t="shared" si="37"/>
        <v>0</v>
      </c>
      <c r="U184" s="11">
        <f t="shared" si="38"/>
        <v>0</v>
      </c>
      <c r="V184" s="11">
        <f t="shared" si="39"/>
        <v>0</v>
      </c>
      <c r="W184" s="11">
        <f t="shared" si="40"/>
        <v>0</v>
      </c>
      <c r="X184" s="11">
        <f t="shared" si="41"/>
        <v>0</v>
      </c>
      <c r="Y184" s="11">
        <f t="shared" si="42"/>
        <v>0</v>
      </c>
      <c r="Z184" s="11">
        <f t="shared" si="43"/>
        <v>0</v>
      </c>
      <c r="AA184" s="11">
        <f t="shared" si="44"/>
        <v>0</v>
      </c>
      <c r="AB184" s="11">
        <f t="shared" si="45"/>
        <v>0</v>
      </c>
      <c r="AC184" s="13">
        <f t="shared" si="31"/>
        <v>0</v>
      </c>
      <c r="AD184" s="14">
        <v>0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0</v>
      </c>
      <c r="AN184" s="14">
        <v>0</v>
      </c>
      <c r="AO184" s="14">
        <v>0</v>
      </c>
      <c r="AP184" s="13">
        <f t="shared" si="32"/>
        <v>0</v>
      </c>
      <c r="AQ184" s="16">
        <v>75257.9143584</v>
      </c>
      <c r="AR184" s="16">
        <v>72108.7633241</v>
      </c>
      <c r="AS184" s="16">
        <v>56837.1388896</v>
      </c>
      <c r="AT184" s="16">
        <v>80912.7932928</v>
      </c>
      <c r="AU184" s="16">
        <v>81881.982707</v>
      </c>
      <c r="AV184" s="16">
        <v>87759.1091916</v>
      </c>
      <c r="AW184" s="16">
        <v>82896.4867872</v>
      </c>
      <c r="AX184" s="16">
        <v>77039.0563572</v>
      </c>
      <c r="AY184" s="16">
        <v>82422.1527287</v>
      </c>
      <c r="AZ184" s="16">
        <v>75496.8265657</v>
      </c>
      <c r="BA184" s="16">
        <v>60226.1153272</v>
      </c>
      <c r="BB184" s="16">
        <v>64692.4586026</v>
      </c>
      <c r="BC184" s="13">
        <f t="shared" si="33"/>
        <v>897530.7981321</v>
      </c>
    </row>
    <row r="185" spans="1:55">
      <c r="A185" s="4" t="s">
        <v>23</v>
      </c>
      <c r="B185" s="4" t="s">
        <v>374</v>
      </c>
      <c r="C185" s="4" t="s">
        <v>375</v>
      </c>
      <c r="D185" s="6">
        <v>17371.8430704</v>
      </c>
      <c r="E185" s="6">
        <v>16118.520336</v>
      </c>
      <c r="F185" s="6">
        <v>20896.835472</v>
      </c>
      <c r="G185" s="6">
        <v>13336.095888</v>
      </c>
      <c r="H185" s="6">
        <v>12994.86384</v>
      </c>
      <c r="I185" s="6">
        <v>12307.428432</v>
      </c>
      <c r="J185" s="6">
        <v>19117.258128</v>
      </c>
      <c r="K185" s="6">
        <v>16729.667136</v>
      </c>
      <c r="L185" s="6">
        <v>16125.8674265</v>
      </c>
      <c r="M185" s="6">
        <v>25907.0708339</v>
      </c>
      <c r="N185" s="6">
        <v>20559.7042614</v>
      </c>
      <c r="O185" s="6">
        <v>20559.7042614</v>
      </c>
      <c r="P185" s="9">
        <v>212024.8590856</v>
      </c>
      <c r="Q185" s="11">
        <f t="shared" si="34"/>
        <v>17371.8430704</v>
      </c>
      <c r="R185" s="11">
        <f t="shared" si="35"/>
        <v>16118.520336</v>
      </c>
      <c r="S185" s="11">
        <f t="shared" si="36"/>
        <v>20896.835472</v>
      </c>
      <c r="T185" s="11">
        <f t="shared" si="37"/>
        <v>13336.095888</v>
      </c>
      <c r="U185" s="11">
        <f t="shared" si="38"/>
        <v>12994.86384</v>
      </c>
      <c r="V185" s="11">
        <f t="shared" si="39"/>
        <v>12307.428432</v>
      </c>
      <c r="W185" s="11">
        <f t="shared" si="40"/>
        <v>19117.258128</v>
      </c>
      <c r="X185" s="11">
        <f t="shared" si="41"/>
        <v>16729.667136</v>
      </c>
      <c r="Y185" s="11">
        <f t="shared" si="42"/>
        <v>16125.8674265</v>
      </c>
      <c r="Z185" s="11">
        <f t="shared" si="43"/>
        <v>25907.0708339</v>
      </c>
      <c r="AA185" s="11">
        <f t="shared" si="44"/>
        <v>20559.7042614</v>
      </c>
      <c r="AB185" s="11">
        <f t="shared" si="45"/>
        <v>20559.7042614</v>
      </c>
      <c r="AC185" s="13">
        <f t="shared" si="31"/>
        <v>212024.8590856</v>
      </c>
      <c r="AD185" s="14">
        <v>0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3">
        <f t="shared" si="32"/>
        <v>0</v>
      </c>
      <c r="AQ185" s="16">
        <v>0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  <c r="AW185" s="16">
        <v>0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3">
        <f t="shared" si="33"/>
        <v>0</v>
      </c>
    </row>
    <row r="186" spans="1:55">
      <c r="A186" s="4" t="s">
        <v>23</v>
      </c>
      <c r="B186" s="4" t="s">
        <v>376</v>
      </c>
      <c r="C186" s="4" t="s">
        <v>377</v>
      </c>
      <c r="D186" s="6">
        <v>0</v>
      </c>
      <c r="E186" s="6">
        <v>591.624</v>
      </c>
      <c r="F186" s="6">
        <v>11399.16864</v>
      </c>
      <c r="G186" s="6">
        <v>10670.0748</v>
      </c>
      <c r="H186" s="6">
        <v>20831.4778862</v>
      </c>
      <c r="I186" s="6">
        <v>6953.598144</v>
      </c>
      <c r="J186" s="6">
        <v>4846.245696</v>
      </c>
      <c r="K186" s="6">
        <v>17648.6162844</v>
      </c>
      <c r="L186" s="6">
        <v>6494.7228808</v>
      </c>
      <c r="M186" s="6">
        <v>7170.138102</v>
      </c>
      <c r="N186" s="6">
        <v>5188.9449414</v>
      </c>
      <c r="O186" s="6">
        <v>5533.200201</v>
      </c>
      <c r="P186" s="9">
        <v>97327.8115758</v>
      </c>
      <c r="Q186" s="11">
        <f t="shared" si="34"/>
        <v>0</v>
      </c>
      <c r="R186" s="11">
        <f t="shared" si="35"/>
        <v>591.624</v>
      </c>
      <c r="S186" s="11">
        <f t="shared" si="36"/>
        <v>11399.16864</v>
      </c>
      <c r="T186" s="11">
        <f t="shared" si="37"/>
        <v>10670.0748</v>
      </c>
      <c r="U186" s="11">
        <f t="shared" si="38"/>
        <v>20831.4778862</v>
      </c>
      <c r="V186" s="11">
        <f t="shared" si="39"/>
        <v>6953.598144</v>
      </c>
      <c r="W186" s="11">
        <f t="shared" si="40"/>
        <v>4846.245696</v>
      </c>
      <c r="X186" s="11">
        <f t="shared" si="41"/>
        <v>17648.6162844</v>
      </c>
      <c r="Y186" s="11">
        <f t="shared" si="42"/>
        <v>6494.7228808</v>
      </c>
      <c r="Z186" s="11">
        <f t="shared" si="43"/>
        <v>7170.138102</v>
      </c>
      <c r="AA186" s="11">
        <f t="shared" si="44"/>
        <v>5188.9449414</v>
      </c>
      <c r="AB186" s="11">
        <f t="shared" si="45"/>
        <v>5533.200201</v>
      </c>
      <c r="AC186" s="13">
        <f t="shared" si="31"/>
        <v>97327.8115758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0</v>
      </c>
      <c r="AN186" s="14">
        <v>0</v>
      </c>
      <c r="AO186" s="14">
        <v>0</v>
      </c>
      <c r="AP186" s="13">
        <f t="shared" si="32"/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  <c r="AX186" s="16">
        <v>0</v>
      </c>
      <c r="AY186" s="16">
        <v>0</v>
      </c>
      <c r="AZ186" s="16">
        <v>0</v>
      </c>
      <c r="BA186" s="16">
        <v>0</v>
      </c>
      <c r="BB186" s="16">
        <v>0</v>
      </c>
      <c r="BC186" s="13">
        <f t="shared" si="33"/>
        <v>0</v>
      </c>
    </row>
    <row r="187" spans="1:55">
      <c r="A187" s="4" t="s">
        <v>23</v>
      </c>
      <c r="B187" s="4" t="s">
        <v>378</v>
      </c>
      <c r="C187" s="4" t="s">
        <v>379</v>
      </c>
      <c r="D187" s="6">
        <v>32912.102034</v>
      </c>
      <c r="E187" s="6">
        <v>26329.6816272</v>
      </c>
      <c r="F187" s="6">
        <v>21392.8663221</v>
      </c>
      <c r="G187" s="6">
        <v>36754.147062</v>
      </c>
      <c r="H187" s="6">
        <v>39578.4214562</v>
      </c>
      <c r="I187" s="6">
        <v>32912.102034</v>
      </c>
      <c r="J187" s="6">
        <v>43182.815238</v>
      </c>
      <c r="K187" s="6">
        <v>41952.1500084</v>
      </c>
      <c r="L187" s="6">
        <v>39481.7318721</v>
      </c>
      <c r="M187" s="6">
        <v>39271.4391442</v>
      </c>
      <c r="N187" s="6">
        <v>28570.4250417</v>
      </c>
      <c r="O187" s="6">
        <v>30999.6550429</v>
      </c>
      <c r="P187" s="9">
        <v>413337.5368828</v>
      </c>
      <c r="Q187" s="11">
        <f t="shared" si="34"/>
        <v>0</v>
      </c>
      <c r="R187" s="11">
        <f t="shared" si="35"/>
        <v>0</v>
      </c>
      <c r="S187" s="11">
        <f t="shared" si="36"/>
        <v>0</v>
      </c>
      <c r="T187" s="11">
        <f t="shared" si="37"/>
        <v>0</v>
      </c>
      <c r="U187" s="11">
        <f t="shared" si="38"/>
        <v>0</v>
      </c>
      <c r="V187" s="11">
        <f t="shared" si="39"/>
        <v>0</v>
      </c>
      <c r="W187" s="11">
        <f t="shared" si="40"/>
        <v>0</v>
      </c>
      <c r="X187" s="11">
        <f t="shared" si="41"/>
        <v>0</v>
      </c>
      <c r="Y187" s="11">
        <f t="shared" si="42"/>
        <v>0</v>
      </c>
      <c r="Z187" s="11">
        <f t="shared" si="43"/>
        <v>0</v>
      </c>
      <c r="AA187" s="11">
        <f t="shared" si="44"/>
        <v>0</v>
      </c>
      <c r="AB187" s="11">
        <f t="shared" si="45"/>
        <v>0</v>
      </c>
      <c r="AC187" s="13">
        <f t="shared" si="31"/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3">
        <f t="shared" si="32"/>
        <v>0</v>
      </c>
      <c r="AQ187" s="16">
        <v>32912.102034</v>
      </c>
      <c r="AR187" s="16">
        <v>26329.6816272</v>
      </c>
      <c r="AS187" s="16">
        <v>21392.8663221</v>
      </c>
      <c r="AT187" s="16">
        <v>36754.147062</v>
      </c>
      <c r="AU187" s="16">
        <v>39578.4214562</v>
      </c>
      <c r="AV187" s="16">
        <v>32912.102034</v>
      </c>
      <c r="AW187" s="16">
        <v>43182.815238</v>
      </c>
      <c r="AX187" s="16">
        <v>41952.1500084</v>
      </c>
      <c r="AY187" s="16">
        <v>39481.7318721</v>
      </c>
      <c r="AZ187" s="16">
        <v>39271.4391442</v>
      </c>
      <c r="BA187" s="16">
        <v>28570.4250417</v>
      </c>
      <c r="BB187" s="16">
        <v>30999.6550429</v>
      </c>
      <c r="BC187" s="13">
        <f t="shared" si="33"/>
        <v>413337.5368828</v>
      </c>
    </row>
    <row r="188" spans="1:55">
      <c r="A188" s="4" t="s">
        <v>23</v>
      </c>
      <c r="B188" s="4" t="s">
        <v>380</v>
      </c>
      <c r="C188" s="4" t="s">
        <v>381</v>
      </c>
      <c r="D188" s="6">
        <v>2000</v>
      </c>
      <c r="E188" s="6">
        <v>0</v>
      </c>
      <c r="F188" s="6">
        <v>0</v>
      </c>
      <c r="G188" s="6">
        <v>0</v>
      </c>
      <c r="H188" s="6">
        <v>2000</v>
      </c>
      <c r="I188" s="6">
        <v>0</v>
      </c>
      <c r="J188" s="6">
        <v>2000</v>
      </c>
      <c r="K188" s="6">
        <v>0</v>
      </c>
      <c r="L188" s="6">
        <v>0</v>
      </c>
      <c r="M188" s="6">
        <v>2000</v>
      </c>
      <c r="N188" s="6">
        <v>0</v>
      </c>
      <c r="O188" s="6">
        <v>0</v>
      </c>
      <c r="P188" s="9">
        <v>8000</v>
      </c>
      <c r="Q188" s="11">
        <f t="shared" si="34"/>
        <v>0</v>
      </c>
      <c r="R188" s="11">
        <f t="shared" si="35"/>
        <v>0</v>
      </c>
      <c r="S188" s="11">
        <f t="shared" si="36"/>
        <v>0</v>
      </c>
      <c r="T188" s="11">
        <f t="shared" si="37"/>
        <v>0</v>
      </c>
      <c r="U188" s="11">
        <f t="shared" si="38"/>
        <v>0</v>
      </c>
      <c r="V188" s="11">
        <f t="shared" si="39"/>
        <v>0</v>
      </c>
      <c r="W188" s="11">
        <f t="shared" si="40"/>
        <v>0</v>
      </c>
      <c r="X188" s="11">
        <f t="shared" si="41"/>
        <v>0</v>
      </c>
      <c r="Y188" s="11">
        <f t="shared" si="42"/>
        <v>0</v>
      </c>
      <c r="Z188" s="11">
        <f t="shared" si="43"/>
        <v>0</v>
      </c>
      <c r="AA188" s="11">
        <f t="shared" si="44"/>
        <v>0</v>
      </c>
      <c r="AB188" s="11">
        <f t="shared" si="45"/>
        <v>0</v>
      </c>
      <c r="AC188" s="13">
        <f t="shared" si="31"/>
        <v>0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3">
        <f t="shared" si="32"/>
        <v>0</v>
      </c>
      <c r="AQ188" s="16">
        <v>2000</v>
      </c>
      <c r="AR188" s="16">
        <v>0</v>
      </c>
      <c r="AS188" s="16">
        <v>0</v>
      </c>
      <c r="AT188" s="16">
        <v>0</v>
      </c>
      <c r="AU188" s="16">
        <v>2000</v>
      </c>
      <c r="AV188" s="16">
        <v>0</v>
      </c>
      <c r="AW188" s="16">
        <v>2000</v>
      </c>
      <c r="AX188" s="16">
        <v>0</v>
      </c>
      <c r="AY188" s="16">
        <v>0</v>
      </c>
      <c r="AZ188" s="16">
        <v>2000</v>
      </c>
      <c r="BA188" s="16">
        <v>0</v>
      </c>
      <c r="BB188" s="16">
        <v>0</v>
      </c>
      <c r="BC188" s="13">
        <f t="shared" si="33"/>
        <v>8000</v>
      </c>
    </row>
    <row r="189" spans="1:55">
      <c r="A189" s="4" t="s">
        <v>23</v>
      </c>
      <c r="B189" s="4" t="s">
        <v>382</v>
      </c>
      <c r="C189" s="4" t="s">
        <v>383</v>
      </c>
      <c r="D189" s="6">
        <v>0</v>
      </c>
      <c r="E189" s="6">
        <v>0</v>
      </c>
      <c r="F189" s="6">
        <v>0</v>
      </c>
      <c r="G189" s="6">
        <v>0</v>
      </c>
      <c r="H189" s="6">
        <v>476.1904762</v>
      </c>
      <c r="I189" s="6">
        <v>13400.317236</v>
      </c>
      <c r="J189" s="6">
        <v>14614.08342</v>
      </c>
      <c r="K189" s="6">
        <v>27488.5735416</v>
      </c>
      <c r="L189" s="6">
        <v>14660.8394587</v>
      </c>
      <c r="M189" s="6">
        <v>11965.2074796</v>
      </c>
      <c r="N189" s="6">
        <v>9126.7078731</v>
      </c>
      <c r="O189" s="6">
        <v>10008.0918907</v>
      </c>
      <c r="P189" s="9">
        <v>101740.0113759</v>
      </c>
      <c r="Q189" s="11">
        <f t="shared" si="34"/>
        <v>0</v>
      </c>
      <c r="R189" s="11">
        <f t="shared" si="35"/>
        <v>0</v>
      </c>
      <c r="S189" s="11">
        <f t="shared" si="36"/>
        <v>0</v>
      </c>
      <c r="T189" s="11">
        <f t="shared" si="37"/>
        <v>0</v>
      </c>
      <c r="U189" s="11">
        <f t="shared" si="38"/>
        <v>476.1904762</v>
      </c>
      <c r="V189" s="11">
        <f t="shared" si="39"/>
        <v>13400.317236</v>
      </c>
      <c r="W189" s="11">
        <f t="shared" si="40"/>
        <v>14614.08342</v>
      </c>
      <c r="X189" s="11">
        <f t="shared" si="41"/>
        <v>27488.5735416</v>
      </c>
      <c r="Y189" s="11">
        <f t="shared" si="42"/>
        <v>14660.8394587</v>
      </c>
      <c r="Z189" s="11">
        <f t="shared" si="43"/>
        <v>11965.2074796</v>
      </c>
      <c r="AA189" s="11">
        <f t="shared" si="44"/>
        <v>9126.7078731</v>
      </c>
      <c r="AB189" s="11">
        <f t="shared" si="45"/>
        <v>10008.0918907</v>
      </c>
      <c r="AC189" s="13">
        <f t="shared" si="31"/>
        <v>101740.0113759</v>
      </c>
      <c r="AD189" s="14">
        <v>0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3">
        <f t="shared" si="32"/>
        <v>0</v>
      </c>
      <c r="AQ189" s="16">
        <v>0</v>
      </c>
      <c r="AR189" s="16">
        <v>0</v>
      </c>
      <c r="AS189" s="16">
        <v>0</v>
      </c>
      <c r="AT189" s="16">
        <v>0</v>
      </c>
      <c r="AU189" s="16">
        <v>0</v>
      </c>
      <c r="AV189" s="16">
        <v>0</v>
      </c>
      <c r="AW189" s="16">
        <v>0</v>
      </c>
      <c r="AX189" s="16">
        <v>0</v>
      </c>
      <c r="AY189" s="16">
        <v>0</v>
      </c>
      <c r="AZ189" s="16">
        <v>0</v>
      </c>
      <c r="BA189" s="16">
        <v>0</v>
      </c>
      <c r="BB189" s="16">
        <v>0</v>
      </c>
      <c r="BC189" s="13">
        <f t="shared" si="33"/>
        <v>0</v>
      </c>
    </row>
    <row r="190" spans="1:55">
      <c r="A190" s="4" t="s">
        <v>23</v>
      </c>
      <c r="B190" s="4" t="s">
        <v>384</v>
      </c>
      <c r="C190" s="4" t="s">
        <v>385</v>
      </c>
      <c r="D190" s="6">
        <v>0</v>
      </c>
      <c r="E190" s="6">
        <v>0</v>
      </c>
      <c r="F190" s="6">
        <v>0</v>
      </c>
      <c r="G190" s="6">
        <v>0</v>
      </c>
      <c r="H190" s="6">
        <v>476.1904762</v>
      </c>
      <c r="I190" s="6">
        <v>12001.376016</v>
      </c>
      <c r="J190" s="6">
        <v>13920.474096</v>
      </c>
      <c r="K190" s="6">
        <v>26106.4936656</v>
      </c>
      <c r="L190" s="6">
        <v>13170.306029</v>
      </c>
      <c r="M190" s="6">
        <v>11359.7666136</v>
      </c>
      <c r="N190" s="6">
        <v>8495.5327713</v>
      </c>
      <c r="O190" s="6">
        <v>9356.9337431</v>
      </c>
      <c r="P190" s="9">
        <v>94887.0734108</v>
      </c>
      <c r="Q190" s="11">
        <f t="shared" si="34"/>
        <v>0</v>
      </c>
      <c r="R190" s="11">
        <f t="shared" si="35"/>
        <v>0</v>
      </c>
      <c r="S190" s="11">
        <f t="shared" si="36"/>
        <v>0</v>
      </c>
      <c r="T190" s="11">
        <f t="shared" si="37"/>
        <v>0</v>
      </c>
      <c r="U190" s="11">
        <f t="shared" si="38"/>
        <v>0</v>
      </c>
      <c r="V190" s="11">
        <f t="shared" si="39"/>
        <v>0</v>
      </c>
      <c r="W190" s="11">
        <f t="shared" si="40"/>
        <v>0</v>
      </c>
      <c r="X190" s="11">
        <f t="shared" si="41"/>
        <v>0</v>
      </c>
      <c r="Y190" s="11">
        <f t="shared" si="42"/>
        <v>0</v>
      </c>
      <c r="Z190" s="11">
        <f t="shared" si="43"/>
        <v>0</v>
      </c>
      <c r="AA190" s="11">
        <f t="shared" si="44"/>
        <v>0</v>
      </c>
      <c r="AB190" s="11">
        <f t="shared" si="45"/>
        <v>0</v>
      </c>
      <c r="AC190" s="13">
        <f t="shared" si="31"/>
        <v>0</v>
      </c>
      <c r="AD190" s="14">
        <v>0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4">
        <v>0</v>
      </c>
      <c r="AO190" s="14">
        <v>0</v>
      </c>
      <c r="AP190" s="13">
        <f t="shared" si="32"/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476.1904762</v>
      </c>
      <c r="AV190" s="16">
        <v>12001.376016</v>
      </c>
      <c r="AW190" s="16">
        <v>13920.474096</v>
      </c>
      <c r="AX190" s="16">
        <v>26106.4936656</v>
      </c>
      <c r="AY190" s="16">
        <v>13170.306029</v>
      </c>
      <c r="AZ190" s="16">
        <v>11359.7666136</v>
      </c>
      <c r="BA190" s="16">
        <v>8495.5327713</v>
      </c>
      <c r="BB190" s="16">
        <v>9356.9337431</v>
      </c>
      <c r="BC190" s="13">
        <f t="shared" si="33"/>
        <v>94887.0734108</v>
      </c>
    </row>
    <row r="191" spans="1:55">
      <c r="A191" s="4" t="s">
        <v>23</v>
      </c>
      <c r="B191" s="4" t="s">
        <v>386</v>
      </c>
      <c r="C191" s="4" t="s">
        <v>387</v>
      </c>
      <c r="D191" s="6">
        <v>0</v>
      </c>
      <c r="E191" s="6">
        <v>0</v>
      </c>
      <c r="F191" s="6">
        <v>0</v>
      </c>
      <c r="G191" s="6">
        <v>0</v>
      </c>
      <c r="H191" s="6">
        <v>476.1904762</v>
      </c>
      <c r="I191" s="6">
        <v>11355.775632</v>
      </c>
      <c r="J191" s="6">
        <v>13044.505392</v>
      </c>
      <c r="K191" s="6">
        <v>27420.8605776</v>
      </c>
      <c r="L191" s="6">
        <v>13205.5000457</v>
      </c>
      <c r="M191" s="6">
        <v>11553.6146454</v>
      </c>
      <c r="N191" s="6">
        <v>9042.9743822</v>
      </c>
      <c r="O191" s="6">
        <v>9929.1492179</v>
      </c>
      <c r="P191" s="9">
        <v>96028.570369</v>
      </c>
      <c r="Q191" s="11">
        <f t="shared" si="34"/>
        <v>0</v>
      </c>
      <c r="R191" s="11">
        <f t="shared" si="35"/>
        <v>0</v>
      </c>
      <c r="S191" s="11">
        <f t="shared" si="36"/>
        <v>0</v>
      </c>
      <c r="T191" s="11">
        <f t="shared" si="37"/>
        <v>0</v>
      </c>
      <c r="U191" s="11">
        <f t="shared" si="38"/>
        <v>0</v>
      </c>
      <c r="V191" s="11">
        <f t="shared" si="39"/>
        <v>0</v>
      </c>
      <c r="W191" s="11">
        <f t="shared" si="40"/>
        <v>0</v>
      </c>
      <c r="X191" s="11">
        <f t="shared" si="41"/>
        <v>0</v>
      </c>
      <c r="Y191" s="11">
        <f t="shared" si="42"/>
        <v>0</v>
      </c>
      <c r="Z191" s="11">
        <f t="shared" si="43"/>
        <v>0</v>
      </c>
      <c r="AA191" s="11">
        <f t="shared" si="44"/>
        <v>0</v>
      </c>
      <c r="AB191" s="11">
        <f t="shared" si="45"/>
        <v>0</v>
      </c>
      <c r="AC191" s="13">
        <f t="shared" si="31"/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14">
        <v>0</v>
      </c>
      <c r="AP191" s="13">
        <f t="shared" si="32"/>
        <v>0</v>
      </c>
      <c r="AQ191" s="16">
        <v>0</v>
      </c>
      <c r="AR191" s="16">
        <v>0</v>
      </c>
      <c r="AS191" s="16">
        <v>0</v>
      </c>
      <c r="AT191" s="16">
        <v>0</v>
      </c>
      <c r="AU191" s="16">
        <v>476.1904762</v>
      </c>
      <c r="AV191" s="16">
        <v>11355.775632</v>
      </c>
      <c r="AW191" s="16">
        <v>13044.505392</v>
      </c>
      <c r="AX191" s="16">
        <v>27420.8605776</v>
      </c>
      <c r="AY191" s="16">
        <v>13205.5000457</v>
      </c>
      <c r="AZ191" s="16">
        <v>11553.6146454</v>
      </c>
      <c r="BA191" s="16">
        <v>9042.9743822</v>
      </c>
      <c r="BB191" s="16">
        <v>9929.1492179</v>
      </c>
      <c r="BC191" s="13">
        <f t="shared" si="33"/>
        <v>96028.570369</v>
      </c>
    </row>
    <row r="192" spans="1:55">
      <c r="A192" s="4" t="s">
        <v>23</v>
      </c>
      <c r="B192" s="4" t="s">
        <v>388</v>
      </c>
      <c r="C192" s="4" t="s">
        <v>389</v>
      </c>
      <c r="D192" s="6">
        <v>19999.9999999</v>
      </c>
      <c r="E192" s="6">
        <v>19999.9999999</v>
      </c>
      <c r="F192" s="6">
        <v>19999.9999999</v>
      </c>
      <c r="G192" s="6">
        <v>19999.9999999</v>
      </c>
      <c r="H192" s="6">
        <v>20476.1904761</v>
      </c>
      <c r="I192" s="6">
        <v>19999.9999999</v>
      </c>
      <c r="J192" s="6">
        <v>19999.9999999</v>
      </c>
      <c r="K192" s="6">
        <v>19999.9999999</v>
      </c>
      <c r="L192" s="6">
        <v>19523.8095237</v>
      </c>
      <c r="M192" s="6">
        <v>19999.9999999</v>
      </c>
      <c r="N192" s="6">
        <v>55000</v>
      </c>
      <c r="O192" s="6">
        <v>19999.9999999</v>
      </c>
      <c r="P192" s="9">
        <v>274999.9999989</v>
      </c>
      <c r="Q192" s="11">
        <f t="shared" si="34"/>
        <v>19999.9999999</v>
      </c>
      <c r="R192" s="11">
        <f t="shared" si="35"/>
        <v>19999.9999999</v>
      </c>
      <c r="S192" s="11">
        <f t="shared" si="36"/>
        <v>19999.9999999</v>
      </c>
      <c r="T192" s="11">
        <f t="shared" si="37"/>
        <v>19999.9999999</v>
      </c>
      <c r="U192" s="11">
        <f t="shared" si="38"/>
        <v>20476.1904761</v>
      </c>
      <c r="V192" s="11">
        <f t="shared" si="39"/>
        <v>19999.9999999</v>
      </c>
      <c r="W192" s="11">
        <f t="shared" si="40"/>
        <v>19999.9999999</v>
      </c>
      <c r="X192" s="11">
        <f t="shared" si="41"/>
        <v>19999.9999999</v>
      </c>
      <c r="Y192" s="11">
        <f t="shared" si="42"/>
        <v>19523.8095237</v>
      </c>
      <c r="Z192" s="11">
        <f t="shared" si="43"/>
        <v>19999.9999999</v>
      </c>
      <c r="AA192" s="11">
        <f t="shared" si="44"/>
        <v>55000</v>
      </c>
      <c r="AB192" s="11">
        <f t="shared" si="45"/>
        <v>19999.9999999</v>
      </c>
      <c r="AC192" s="13">
        <f t="shared" si="31"/>
        <v>274999.9999989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0</v>
      </c>
      <c r="AP192" s="13">
        <f t="shared" si="32"/>
        <v>0</v>
      </c>
      <c r="AQ192" s="16">
        <v>0</v>
      </c>
      <c r="AR192" s="16">
        <v>0</v>
      </c>
      <c r="AS192" s="16">
        <v>0</v>
      </c>
      <c r="AT192" s="16">
        <v>0</v>
      </c>
      <c r="AU192" s="16">
        <v>0</v>
      </c>
      <c r="AV192" s="16">
        <v>0</v>
      </c>
      <c r="AW192" s="16">
        <v>0</v>
      </c>
      <c r="AX192" s="16">
        <v>0</v>
      </c>
      <c r="AY192" s="16">
        <v>0</v>
      </c>
      <c r="AZ192" s="16">
        <v>0</v>
      </c>
      <c r="BA192" s="16">
        <v>0</v>
      </c>
      <c r="BB192" s="16">
        <v>0</v>
      </c>
      <c r="BC192" s="13">
        <f t="shared" si="33"/>
        <v>0</v>
      </c>
    </row>
    <row r="193" spans="1:55">
      <c r="A193" s="4" t="s">
        <v>23</v>
      </c>
      <c r="B193" s="4" t="s">
        <v>390</v>
      </c>
      <c r="C193" s="4" t="s">
        <v>391</v>
      </c>
      <c r="D193" s="6">
        <v>44418.0237816</v>
      </c>
      <c r="E193" s="6">
        <v>44862.6165516</v>
      </c>
      <c r="F193" s="6">
        <v>31515.50052</v>
      </c>
      <c r="G193" s="6">
        <v>59470.3578269</v>
      </c>
      <c r="H193" s="6">
        <v>60678.5789791</v>
      </c>
      <c r="I193" s="6">
        <v>58006.7126663</v>
      </c>
      <c r="J193" s="6">
        <v>60735.6454262</v>
      </c>
      <c r="K193" s="6">
        <v>62227.8558717</v>
      </c>
      <c r="L193" s="6">
        <v>63627.3925479</v>
      </c>
      <c r="M193" s="6">
        <v>61476.9038399</v>
      </c>
      <c r="N193" s="6">
        <v>49911.8947618</v>
      </c>
      <c r="O193" s="6">
        <v>53228.9525224</v>
      </c>
      <c r="P193" s="9">
        <v>650160.4352954</v>
      </c>
      <c r="Q193" s="11">
        <f t="shared" si="34"/>
        <v>0</v>
      </c>
      <c r="R193" s="11">
        <f t="shared" si="35"/>
        <v>0</v>
      </c>
      <c r="S193" s="11">
        <f t="shared" si="36"/>
        <v>0</v>
      </c>
      <c r="T193" s="11">
        <f t="shared" si="37"/>
        <v>0</v>
      </c>
      <c r="U193" s="11">
        <f t="shared" si="38"/>
        <v>0</v>
      </c>
      <c r="V193" s="11">
        <f t="shared" si="39"/>
        <v>0</v>
      </c>
      <c r="W193" s="11">
        <f t="shared" si="40"/>
        <v>0</v>
      </c>
      <c r="X193" s="11">
        <f t="shared" si="41"/>
        <v>0</v>
      </c>
      <c r="Y193" s="11">
        <f t="shared" si="42"/>
        <v>0</v>
      </c>
      <c r="Z193" s="11">
        <f t="shared" si="43"/>
        <v>0</v>
      </c>
      <c r="AA193" s="11">
        <f t="shared" si="44"/>
        <v>0</v>
      </c>
      <c r="AB193" s="11">
        <f t="shared" si="45"/>
        <v>0</v>
      </c>
      <c r="AC193" s="13">
        <f t="shared" si="31"/>
        <v>0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3">
        <f t="shared" si="32"/>
        <v>0</v>
      </c>
      <c r="AQ193" s="16">
        <v>44418.0237816</v>
      </c>
      <c r="AR193" s="16">
        <v>44862.6165516</v>
      </c>
      <c r="AS193" s="16">
        <v>31515.50052</v>
      </c>
      <c r="AT193" s="16">
        <v>59470.3578269</v>
      </c>
      <c r="AU193" s="16">
        <v>60678.5789791</v>
      </c>
      <c r="AV193" s="16">
        <v>58006.7126663</v>
      </c>
      <c r="AW193" s="16">
        <v>60735.6454262</v>
      </c>
      <c r="AX193" s="16">
        <v>62227.8558717</v>
      </c>
      <c r="AY193" s="16">
        <v>63627.3925479</v>
      </c>
      <c r="AZ193" s="16">
        <v>61476.9038399</v>
      </c>
      <c r="BA193" s="16">
        <v>49911.8947618</v>
      </c>
      <c r="BB193" s="16">
        <v>53228.9525224</v>
      </c>
      <c r="BC193" s="13">
        <f t="shared" si="33"/>
        <v>650160.4352954</v>
      </c>
    </row>
    <row r="194" spans="1:55">
      <c r="A194" s="4" t="s">
        <v>23</v>
      </c>
      <c r="B194" s="4" t="s">
        <v>392</v>
      </c>
      <c r="C194" s="4" t="s">
        <v>393</v>
      </c>
      <c r="D194" s="6">
        <v>0</v>
      </c>
      <c r="E194" s="6">
        <v>0</v>
      </c>
      <c r="F194" s="6">
        <v>0</v>
      </c>
      <c r="G194" s="6">
        <v>47321.8997077</v>
      </c>
      <c r="H194" s="6">
        <v>47798.0901839</v>
      </c>
      <c r="I194" s="6">
        <v>56948.5583317</v>
      </c>
      <c r="J194" s="6">
        <v>59780.9974357</v>
      </c>
      <c r="K194" s="6">
        <v>54864.0713557</v>
      </c>
      <c r="L194" s="6">
        <v>56767.4712816</v>
      </c>
      <c r="M194" s="6">
        <v>63261.7425349</v>
      </c>
      <c r="N194" s="6">
        <v>59971.6684369</v>
      </c>
      <c r="O194" s="6">
        <v>59971.6684369</v>
      </c>
      <c r="P194" s="9">
        <v>506686.167705</v>
      </c>
      <c r="Q194" s="11">
        <f t="shared" si="34"/>
        <v>0</v>
      </c>
      <c r="R194" s="11">
        <f t="shared" si="35"/>
        <v>0</v>
      </c>
      <c r="S194" s="11">
        <f t="shared" si="36"/>
        <v>0</v>
      </c>
      <c r="T194" s="11">
        <f t="shared" si="37"/>
        <v>0</v>
      </c>
      <c r="U194" s="11">
        <f t="shared" si="38"/>
        <v>0</v>
      </c>
      <c r="V194" s="11">
        <f t="shared" si="39"/>
        <v>0</v>
      </c>
      <c r="W194" s="11">
        <f t="shared" si="40"/>
        <v>0</v>
      </c>
      <c r="X194" s="11">
        <f t="shared" si="41"/>
        <v>0</v>
      </c>
      <c r="Y194" s="11">
        <f t="shared" si="42"/>
        <v>0</v>
      </c>
      <c r="Z194" s="11">
        <f t="shared" si="43"/>
        <v>0</v>
      </c>
      <c r="AA194" s="11">
        <f t="shared" si="44"/>
        <v>0</v>
      </c>
      <c r="AB194" s="11">
        <f t="shared" si="45"/>
        <v>0</v>
      </c>
      <c r="AC194" s="13">
        <f t="shared" si="31"/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3">
        <f t="shared" si="32"/>
        <v>0</v>
      </c>
      <c r="AQ194" s="16">
        <v>0</v>
      </c>
      <c r="AR194" s="16">
        <v>0</v>
      </c>
      <c r="AS194" s="16">
        <v>0</v>
      </c>
      <c r="AT194" s="16">
        <v>47321.8997077</v>
      </c>
      <c r="AU194" s="16">
        <v>47798.0901839</v>
      </c>
      <c r="AV194" s="16">
        <v>56948.5583317</v>
      </c>
      <c r="AW194" s="16">
        <v>59780.9974357</v>
      </c>
      <c r="AX194" s="16">
        <v>54864.0713557</v>
      </c>
      <c r="AY194" s="16">
        <v>56767.4712816</v>
      </c>
      <c r="AZ194" s="16">
        <v>63261.7425349</v>
      </c>
      <c r="BA194" s="16">
        <v>59971.6684369</v>
      </c>
      <c r="BB194" s="16">
        <v>59971.6684369</v>
      </c>
      <c r="BC194" s="13">
        <f t="shared" si="33"/>
        <v>506686.167705</v>
      </c>
    </row>
    <row r="195" spans="1:55">
      <c r="A195" s="4" t="s">
        <v>23</v>
      </c>
      <c r="B195" s="4" t="s">
        <v>394</v>
      </c>
      <c r="C195" s="4" t="s">
        <v>395</v>
      </c>
      <c r="D195" s="6">
        <v>6754.281768</v>
      </c>
      <c r="E195" s="6">
        <v>10724.251824</v>
      </c>
      <c r="F195" s="6">
        <v>14476.986576</v>
      </c>
      <c r="G195" s="6">
        <v>12850.483464</v>
      </c>
      <c r="H195" s="6">
        <v>37197.5129168</v>
      </c>
      <c r="I195" s="6">
        <v>35365.6677766</v>
      </c>
      <c r="J195" s="6">
        <v>38640.0653446</v>
      </c>
      <c r="K195" s="6">
        <v>35565.4654006</v>
      </c>
      <c r="L195" s="6">
        <v>36085.2366378</v>
      </c>
      <c r="M195" s="6">
        <v>41515.9314117</v>
      </c>
      <c r="N195" s="6">
        <v>38807.3126905</v>
      </c>
      <c r="O195" s="6">
        <v>38807.3126905</v>
      </c>
      <c r="P195" s="9">
        <v>346790.5085011</v>
      </c>
      <c r="Q195" s="11">
        <f t="shared" si="34"/>
        <v>0</v>
      </c>
      <c r="R195" s="11">
        <f t="shared" si="35"/>
        <v>0</v>
      </c>
      <c r="S195" s="11">
        <f t="shared" si="36"/>
        <v>0</v>
      </c>
      <c r="T195" s="11">
        <f t="shared" si="37"/>
        <v>0</v>
      </c>
      <c r="U195" s="11">
        <f t="shared" si="38"/>
        <v>0</v>
      </c>
      <c r="V195" s="11">
        <f t="shared" si="39"/>
        <v>0</v>
      </c>
      <c r="W195" s="11">
        <f t="shared" si="40"/>
        <v>0</v>
      </c>
      <c r="X195" s="11">
        <f t="shared" si="41"/>
        <v>0</v>
      </c>
      <c r="Y195" s="11">
        <f t="shared" si="42"/>
        <v>0</v>
      </c>
      <c r="Z195" s="11">
        <f t="shared" si="43"/>
        <v>0</v>
      </c>
      <c r="AA195" s="11">
        <f t="shared" si="44"/>
        <v>0</v>
      </c>
      <c r="AB195" s="11">
        <f t="shared" si="45"/>
        <v>0</v>
      </c>
      <c r="AC195" s="13">
        <f t="shared" ref="AC195:AC209" si="46">SUM(Q195:AB195)</f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3">
        <f t="shared" ref="AP195:AP209" si="47">SUM(AD195:AO195)</f>
        <v>0</v>
      </c>
      <c r="AQ195" s="16">
        <v>6754.281768</v>
      </c>
      <c r="AR195" s="16">
        <v>10724.251824</v>
      </c>
      <c r="AS195" s="16">
        <v>14476.986576</v>
      </c>
      <c r="AT195" s="16">
        <v>12850.483464</v>
      </c>
      <c r="AU195" s="16">
        <v>37197.5129168</v>
      </c>
      <c r="AV195" s="16">
        <v>35365.6677766</v>
      </c>
      <c r="AW195" s="16">
        <v>38640.0653446</v>
      </c>
      <c r="AX195" s="16">
        <v>35565.4654006</v>
      </c>
      <c r="AY195" s="16">
        <v>36085.2366378</v>
      </c>
      <c r="AZ195" s="16">
        <v>41515.9314117</v>
      </c>
      <c r="BA195" s="16">
        <v>38807.3126905</v>
      </c>
      <c r="BB195" s="16">
        <v>38807.3126905</v>
      </c>
      <c r="BC195" s="13">
        <f t="shared" ref="BC195:BC209" si="48">SUM(AQ195:BB195)</f>
        <v>346790.5085011</v>
      </c>
    </row>
    <row r="196" spans="1:55">
      <c r="A196" s="4" t="s">
        <v>23</v>
      </c>
      <c r="B196" s="4" t="s">
        <v>396</v>
      </c>
      <c r="C196" s="4" t="s">
        <v>397</v>
      </c>
      <c r="D196" s="6">
        <v>0</v>
      </c>
      <c r="E196" s="6">
        <v>0</v>
      </c>
      <c r="F196" s="6">
        <v>0</v>
      </c>
      <c r="G196" s="6">
        <v>0</v>
      </c>
      <c r="H196" s="6">
        <v>26838.6734929</v>
      </c>
      <c r="I196" s="6">
        <v>28372.3252</v>
      </c>
      <c r="J196" s="6">
        <v>21008.4103664</v>
      </c>
      <c r="K196" s="6">
        <v>31221.1380524</v>
      </c>
      <c r="L196" s="6">
        <v>46778.0462516</v>
      </c>
      <c r="M196" s="6">
        <v>39604.6119622</v>
      </c>
      <c r="N196" s="6">
        <v>33397.0288328</v>
      </c>
      <c r="O196" s="6">
        <v>41696.3696939</v>
      </c>
      <c r="P196" s="9">
        <v>268916.6038522</v>
      </c>
      <c r="Q196" s="11">
        <f t="shared" ref="Q196:Q209" si="49">+D196-AD196-AQ196</f>
        <v>0</v>
      </c>
      <c r="R196" s="11">
        <f t="shared" ref="R196:R209" si="50">+E196-AE196-AR196</f>
        <v>0</v>
      </c>
      <c r="S196" s="11">
        <f t="shared" ref="S196:S209" si="51">+F196-AF196-AS196</f>
        <v>0</v>
      </c>
      <c r="T196" s="11">
        <f t="shared" ref="T196:T209" si="52">+G196-AG196-AT196</f>
        <v>0</v>
      </c>
      <c r="U196" s="11">
        <f t="shared" ref="U196:U209" si="53">+H196-AH196-AU196</f>
        <v>26838.6734929</v>
      </c>
      <c r="V196" s="11">
        <f t="shared" ref="V196:V209" si="54">+I196-AI196-AV196</f>
        <v>28372.3252</v>
      </c>
      <c r="W196" s="11">
        <f t="shared" ref="W196:W209" si="55">+J196-AJ196-AW196</f>
        <v>21008.4103664</v>
      </c>
      <c r="X196" s="11">
        <f t="shared" ref="X196:X209" si="56">+K196-AK196-AX196</f>
        <v>31221.1380524</v>
      </c>
      <c r="Y196" s="11">
        <f t="shared" ref="Y196:Y209" si="57">+L196-AL196-AY196</f>
        <v>46778.0462516</v>
      </c>
      <c r="Z196" s="11">
        <f t="shared" ref="Z196:Z209" si="58">+M196-AM196-AZ196</f>
        <v>39604.6119622</v>
      </c>
      <c r="AA196" s="11">
        <f t="shared" ref="AA196:AA209" si="59">+N196-AN196-BA196</f>
        <v>33397.0288328</v>
      </c>
      <c r="AB196" s="11">
        <f t="shared" ref="AB196:AB209" si="60">+O196-AO196-BB196</f>
        <v>41696.3696939</v>
      </c>
      <c r="AC196" s="13">
        <f t="shared" si="46"/>
        <v>268916.6038522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3">
        <f t="shared" si="47"/>
        <v>0</v>
      </c>
      <c r="AQ196" s="16">
        <v>0</v>
      </c>
      <c r="AR196" s="16">
        <v>0</v>
      </c>
      <c r="AS196" s="16">
        <v>0</v>
      </c>
      <c r="AT196" s="16">
        <v>0</v>
      </c>
      <c r="AU196" s="16">
        <v>0</v>
      </c>
      <c r="AV196" s="16">
        <v>0</v>
      </c>
      <c r="AW196" s="16">
        <v>0</v>
      </c>
      <c r="AX196" s="16">
        <v>0</v>
      </c>
      <c r="AY196" s="16">
        <v>0</v>
      </c>
      <c r="AZ196" s="16">
        <v>0</v>
      </c>
      <c r="BA196" s="16">
        <v>0</v>
      </c>
      <c r="BB196" s="16">
        <v>0</v>
      </c>
      <c r="BC196" s="13">
        <f t="shared" si="48"/>
        <v>0</v>
      </c>
    </row>
    <row r="197" spans="1:55">
      <c r="A197" s="4" t="s">
        <v>23</v>
      </c>
      <c r="B197" s="4" t="s">
        <v>398</v>
      </c>
      <c r="C197" s="4" t="s">
        <v>399</v>
      </c>
      <c r="D197" s="6">
        <v>0</v>
      </c>
      <c r="E197" s="6">
        <v>0</v>
      </c>
      <c r="F197" s="6">
        <v>0</v>
      </c>
      <c r="G197" s="6">
        <v>0</v>
      </c>
      <c r="H197" s="6">
        <v>476.1904762</v>
      </c>
      <c r="I197" s="6">
        <v>0</v>
      </c>
      <c r="J197" s="6">
        <v>12515.6081564</v>
      </c>
      <c r="K197" s="6">
        <v>13915.8428375</v>
      </c>
      <c r="L197" s="6">
        <v>16551.9552659</v>
      </c>
      <c r="M197" s="6">
        <v>9866.4738372</v>
      </c>
      <c r="N197" s="6">
        <v>6391.5937767</v>
      </c>
      <c r="O197" s="6">
        <v>6993.9062622</v>
      </c>
      <c r="P197" s="9">
        <v>66711.5706121</v>
      </c>
      <c r="Q197" s="11">
        <f t="shared" si="49"/>
        <v>0</v>
      </c>
      <c r="R197" s="11">
        <f t="shared" si="50"/>
        <v>0</v>
      </c>
      <c r="S197" s="11">
        <f t="shared" si="51"/>
        <v>0</v>
      </c>
      <c r="T197" s="11">
        <f t="shared" si="52"/>
        <v>0</v>
      </c>
      <c r="U197" s="11">
        <f t="shared" si="53"/>
        <v>476.1904762</v>
      </c>
      <c r="V197" s="11">
        <f t="shared" si="54"/>
        <v>0</v>
      </c>
      <c r="W197" s="11">
        <f t="shared" si="55"/>
        <v>12515.6081564</v>
      </c>
      <c r="X197" s="11">
        <f t="shared" si="56"/>
        <v>13915.8428375</v>
      </c>
      <c r="Y197" s="11">
        <f t="shared" si="57"/>
        <v>16551.9552659</v>
      </c>
      <c r="Z197" s="11">
        <f t="shared" si="58"/>
        <v>9866.4738372</v>
      </c>
      <c r="AA197" s="11">
        <f t="shared" si="59"/>
        <v>6391.5937767</v>
      </c>
      <c r="AB197" s="11">
        <f t="shared" si="60"/>
        <v>6993.9062622</v>
      </c>
      <c r="AC197" s="13">
        <f t="shared" si="46"/>
        <v>66711.5706121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3">
        <f t="shared" si="47"/>
        <v>0</v>
      </c>
      <c r="AQ197" s="16">
        <v>0</v>
      </c>
      <c r="AR197" s="16">
        <v>0</v>
      </c>
      <c r="AS197" s="16">
        <v>0</v>
      </c>
      <c r="AT197" s="16">
        <v>0</v>
      </c>
      <c r="AU197" s="16">
        <v>0</v>
      </c>
      <c r="AV197" s="16">
        <v>0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3">
        <f t="shared" si="48"/>
        <v>0</v>
      </c>
    </row>
    <row r="198" spans="1:55">
      <c r="A198" s="4" t="s">
        <v>23</v>
      </c>
      <c r="B198" s="4" t="s">
        <v>400</v>
      </c>
      <c r="C198" s="4" t="s">
        <v>401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9">
        <v>0</v>
      </c>
      <c r="Q198" s="11">
        <f t="shared" si="49"/>
        <v>0</v>
      </c>
      <c r="R198" s="11">
        <f t="shared" si="50"/>
        <v>0</v>
      </c>
      <c r="S198" s="11">
        <f t="shared" si="51"/>
        <v>0</v>
      </c>
      <c r="T198" s="11">
        <f t="shared" si="52"/>
        <v>0</v>
      </c>
      <c r="U198" s="11">
        <f t="shared" si="53"/>
        <v>0</v>
      </c>
      <c r="V198" s="11">
        <f t="shared" si="54"/>
        <v>0</v>
      </c>
      <c r="W198" s="11">
        <f t="shared" si="55"/>
        <v>0</v>
      </c>
      <c r="X198" s="11">
        <f t="shared" si="56"/>
        <v>0</v>
      </c>
      <c r="Y198" s="11">
        <f t="shared" si="57"/>
        <v>0</v>
      </c>
      <c r="Z198" s="11">
        <f t="shared" si="58"/>
        <v>0</v>
      </c>
      <c r="AA198" s="11">
        <f t="shared" si="59"/>
        <v>0</v>
      </c>
      <c r="AB198" s="11">
        <f t="shared" si="60"/>
        <v>0</v>
      </c>
      <c r="AC198" s="13">
        <f t="shared" si="46"/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4">
        <v>0</v>
      </c>
      <c r="AO198" s="14">
        <v>0</v>
      </c>
      <c r="AP198" s="13">
        <f t="shared" si="47"/>
        <v>0</v>
      </c>
      <c r="AQ198" s="16">
        <v>0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3">
        <f t="shared" si="48"/>
        <v>0</v>
      </c>
    </row>
    <row r="199" spans="1:55">
      <c r="A199" s="4" t="s">
        <v>23</v>
      </c>
      <c r="B199" s="4" t="s">
        <v>402</v>
      </c>
      <c r="C199" s="4" t="s">
        <v>403</v>
      </c>
      <c r="D199" s="6">
        <v>10428.90624</v>
      </c>
      <c r="E199" s="6">
        <v>11143.49184</v>
      </c>
      <c r="F199" s="6">
        <v>14122.13184</v>
      </c>
      <c r="G199" s="6">
        <v>15373.28448</v>
      </c>
      <c r="H199" s="6">
        <v>12803.23008</v>
      </c>
      <c r="I199" s="6">
        <v>10933.6608</v>
      </c>
      <c r="J199" s="6">
        <v>14496.12864</v>
      </c>
      <c r="K199" s="6">
        <v>12980.51136</v>
      </c>
      <c r="L199" s="6">
        <v>12862.7916475</v>
      </c>
      <c r="M199" s="6">
        <v>20664.7645997</v>
      </c>
      <c r="N199" s="6">
        <v>16399.4398103</v>
      </c>
      <c r="O199" s="6">
        <v>16399.4398103</v>
      </c>
      <c r="P199" s="9">
        <v>168607.7811478</v>
      </c>
      <c r="Q199" s="11">
        <f t="shared" si="49"/>
        <v>0</v>
      </c>
      <c r="R199" s="11">
        <f t="shared" si="50"/>
        <v>0</v>
      </c>
      <c r="S199" s="11">
        <f t="shared" si="51"/>
        <v>0</v>
      </c>
      <c r="T199" s="11">
        <f t="shared" si="52"/>
        <v>0</v>
      </c>
      <c r="U199" s="11">
        <f t="shared" si="53"/>
        <v>0</v>
      </c>
      <c r="V199" s="11">
        <f t="shared" si="54"/>
        <v>0</v>
      </c>
      <c r="W199" s="11">
        <f t="shared" si="55"/>
        <v>0</v>
      </c>
      <c r="X199" s="11">
        <f t="shared" si="56"/>
        <v>0</v>
      </c>
      <c r="Y199" s="11">
        <f t="shared" si="57"/>
        <v>0</v>
      </c>
      <c r="Z199" s="11">
        <f t="shared" si="58"/>
        <v>0</v>
      </c>
      <c r="AA199" s="11">
        <f t="shared" si="59"/>
        <v>0</v>
      </c>
      <c r="AB199" s="11">
        <f t="shared" si="60"/>
        <v>0</v>
      </c>
      <c r="AC199" s="13">
        <f t="shared" si="46"/>
        <v>0</v>
      </c>
      <c r="AD199" s="15">
        <v>10428.90624</v>
      </c>
      <c r="AE199" s="15">
        <v>11143.49184</v>
      </c>
      <c r="AF199" s="15">
        <v>14122.13184</v>
      </c>
      <c r="AG199" s="15">
        <v>15373.28448</v>
      </c>
      <c r="AH199" s="15">
        <v>12803.23008</v>
      </c>
      <c r="AI199" s="15">
        <v>10933.6608</v>
      </c>
      <c r="AJ199" s="15">
        <v>14496.12864</v>
      </c>
      <c r="AK199" s="15">
        <v>12980.51136</v>
      </c>
      <c r="AL199" s="15">
        <v>12862.7916475</v>
      </c>
      <c r="AM199" s="15">
        <v>20664.7645997</v>
      </c>
      <c r="AN199" s="15">
        <v>16399.4398103</v>
      </c>
      <c r="AO199" s="15">
        <v>16399.4398103</v>
      </c>
      <c r="AP199" s="13">
        <f t="shared" si="47"/>
        <v>168607.7811478</v>
      </c>
      <c r="AQ199" s="16">
        <v>0</v>
      </c>
      <c r="AR199" s="16">
        <v>0</v>
      </c>
      <c r="AS199" s="16">
        <v>0</v>
      </c>
      <c r="AT199" s="16">
        <v>0</v>
      </c>
      <c r="AU199" s="16">
        <v>0</v>
      </c>
      <c r="AV199" s="16">
        <v>0</v>
      </c>
      <c r="AW199" s="16">
        <v>0</v>
      </c>
      <c r="AX199" s="16">
        <v>0</v>
      </c>
      <c r="AY199" s="16">
        <v>0</v>
      </c>
      <c r="AZ199" s="16">
        <v>0</v>
      </c>
      <c r="BA199" s="16">
        <v>0</v>
      </c>
      <c r="BB199" s="16">
        <v>0</v>
      </c>
      <c r="BC199" s="13">
        <f t="shared" si="48"/>
        <v>0</v>
      </c>
    </row>
    <row r="200" spans="1:55">
      <c r="A200" s="4" t="s">
        <v>23</v>
      </c>
      <c r="B200" s="4" t="s">
        <v>404</v>
      </c>
      <c r="C200" s="4" t="s">
        <v>145</v>
      </c>
      <c r="D200" s="6">
        <v>8422.0357824</v>
      </c>
      <c r="E200" s="6">
        <v>7579.8322042</v>
      </c>
      <c r="F200" s="6">
        <v>5053.2214694</v>
      </c>
      <c r="G200" s="6">
        <v>10048.6425312</v>
      </c>
      <c r="H200" s="6">
        <v>8162.9744544</v>
      </c>
      <c r="I200" s="6">
        <v>8422.0357824</v>
      </c>
      <c r="J200" s="6">
        <v>11444.8365504</v>
      </c>
      <c r="K200" s="6">
        <v>7119.2056032</v>
      </c>
      <c r="L200" s="6">
        <v>9211.2732772</v>
      </c>
      <c r="M200" s="6">
        <v>12868.1778354</v>
      </c>
      <c r="N200" s="6">
        <v>10212.1128388</v>
      </c>
      <c r="O200" s="6">
        <v>10212.1128388</v>
      </c>
      <c r="P200" s="9">
        <v>108756.4611678</v>
      </c>
      <c r="Q200" s="11">
        <f t="shared" si="49"/>
        <v>0</v>
      </c>
      <c r="R200" s="11">
        <f t="shared" si="50"/>
        <v>0</v>
      </c>
      <c r="S200" s="11">
        <f t="shared" si="51"/>
        <v>0</v>
      </c>
      <c r="T200" s="11">
        <f t="shared" si="52"/>
        <v>0</v>
      </c>
      <c r="U200" s="11">
        <f t="shared" si="53"/>
        <v>0</v>
      </c>
      <c r="V200" s="11">
        <f t="shared" si="54"/>
        <v>0</v>
      </c>
      <c r="W200" s="11">
        <f t="shared" si="55"/>
        <v>0</v>
      </c>
      <c r="X200" s="11">
        <f t="shared" si="56"/>
        <v>0</v>
      </c>
      <c r="Y200" s="11">
        <f t="shared" si="57"/>
        <v>0</v>
      </c>
      <c r="Z200" s="11">
        <f t="shared" si="58"/>
        <v>0</v>
      </c>
      <c r="AA200" s="11">
        <f t="shared" si="59"/>
        <v>0</v>
      </c>
      <c r="AB200" s="11">
        <f t="shared" si="60"/>
        <v>0</v>
      </c>
      <c r="AC200" s="13">
        <f t="shared" si="46"/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3">
        <f t="shared" si="47"/>
        <v>0</v>
      </c>
      <c r="AQ200" s="16">
        <v>8422.0357824</v>
      </c>
      <c r="AR200" s="16">
        <v>7579.8322042</v>
      </c>
      <c r="AS200" s="16">
        <v>5053.2214694</v>
      </c>
      <c r="AT200" s="16">
        <v>10048.6425312</v>
      </c>
      <c r="AU200" s="16">
        <v>8162.9744544</v>
      </c>
      <c r="AV200" s="16">
        <v>8422.0357824</v>
      </c>
      <c r="AW200" s="16">
        <v>11444.8365504</v>
      </c>
      <c r="AX200" s="16">
        <v>7119.2056032</v>
      </c>
      <c r="AY200" s="16">
        <v>9211.2732772</v>
      </c>
      <c r="AZ200" s="16">
        <v>12868.1778354</v>
      </c>
      <c r="BA200" s="16">
        <v>10212.1128388</v>
      </c>
      <c r="BB200" s="16">
        <v>10212.1128388</v>
      </c>
      <c r="BC200" s="13">
        <f t="shared" si="48"/>
        <v>108756.4611678</v>
      </c>
    </row>
    <row r="201" spans="1:55">
      <c r="A201" s="4" t="s">
        <v>23</v>
      </c>
      <c r="B201" s="4" t="s">
        <v>405</v>
      </c>
      <c r="C201" s="4" t="s">
        <v>406</v>
      </c>
      <c r="D201" s="6">
        <v>12124.73592</v>
      </c>
      <c r="E201" s="6">
        <v>9028.25352</v>
      </c>
      <c r="F201" s="6">
        <v>12876.666</v>
      </c>
      <c r="G201" s="6">
        <v>10430.05392</v>
      </c>
      <c r="H201" s="6">
        <v>8544.8352</v>
      </c>
      <c r="I201" s="6">
        <v>8402.77416</v>
      </c>
      <c r="J201" s="6">
        <v>12205.05264</v>
      </c>
      <c r="K201" s="6">
        <v>6787.3344</v>
      </c>
      <c r="L201" s="6">
        <v>9174.0560039</v>
      </c>
      <c r="M201" s="6">
        <v>14738.6129652</v>
      </c>
      <c r="N201" s="6">
        <v>11696.4795338</v>
      </c>
      <c r="O201" s="6">
        <v>11696.4795338</v>
      </c>
      <c r="P201" s="9">
        <v>127705.3337967</v>
      </c>
      <c r="Q201" s="11">
        <f t="shared" si="49"/>
        <v>12124.73592</v>
      </c>
      <c r="R201" s="11">
        <f t="shared" si="50"/>
        <v>9028.25352</v>
      </c>
      <c r="S201" s="11">
        <f t="shared" si="51"/>
        <v>12876.666</v>
      </c>
      <c r="T201" s="11">
        <f t="shared" si="52"/>
        <v>10430.05392</v>
      </c>
      <c r="U201" s="11">
        <f t="shared" si="53"/>
        <v>8544.8352</v>
      </c>
      <c r="V201" s="11">
        <f t="shared" si="54"/>
        <v>8402.77416</v>
      </c>
      <c r="W201" s="11">
        <f t="shared" si="55"/>
        <v>12205.05264</v>
      </c>
      <c r="X201" s="11">
        <f t="shared" si="56"/>
        <v>6787.3344</v>
      </c>
      <c r="Y201" s="11">
        <f t="shared" si="57"/>
        <v>9174.0560039</v>
      </c>
      <c r="Z201" s="11">
        <f t="shared" si="58"/>
        <v>14738.6129652</v>
      </c>
      <c r="AA201" s="11">
        <f t="shared" si="59"/>
        <v>11696.4795338</v>
      </c>
      <c r="AB201" s="11">
        <f t="shared" si="60"/>
        <v>11696.4795338</v>
      </c>
      <c r="AC201" s="13">
        <f t="shared" si="46"/>
        <v>127705.3337967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3">
        <f t="shared" si="47"/>
        <v>0</v>
      </c>
      <c r="AQ201" s="16">
        <v>0</v>
      </c>
      <c r="AR201" s="16">
        <v>0</v>
      </c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6">
        <v>0</v>
      </c>
      <c r="AZ201" s="16">
        <v>0</v>
      </c>
      <c r="BA201" s="16">
        <v>0</v>
      </c>
      <c r="BB201" s="16">
        <v>0</v>
      </c>
      <c r="BC201" s="13">
        <f t="shared" si="48"/>
        <v>0</v>
      </c>
    </row>
    <row r="202" spans="1:55">
      <c r="A202" s="4" t="s">
        <v>23</v>
      </c>
      <c r="B202" s="4" t="s">
        <v>407</v>
      </c>
      <c r="C202" s="4" t="s">
        <v>408</v>
      </c>
      <c r="D202" s="6">
        <v>17808.5061</v>
      </c>
      <c r="E202" s="6">
        <v>14517.34326</v>
      </c>
      <c r="F202" s="6">
        <v>22490.9811</v>
      </c>
      <c r="G202" s="6">
        <v>24027.381</v>
      </c>
      <c r="H202" s="6">
        <v>19544.15358</v>
      </c>
      <c r="I202" s="6">
        <v>18158.56812</v>
      </c>
      <c r="J202" s="6">
        <v>25568.83476</v>
      </c>
      <c r="K202" s="6">
        <v>17076.27852</v>
      </c>
      <c r="L202" s="6">
        <v>20361.8578601</v>
      </c>
      <c r="M202" s="6">
        <v>32712.4166371</v>
      </c>
      <c r="N202" s="6">
        <v>25960.3880364</v>
      </c>
      <c r="O202" s="6">
        <v>25960.3880364</v>
      </c>
      <c r="P202" s="9">
        <v>264187.09701</v>
      </c>
      <c r="Q202" s="11">
        <f t="shared" si="49"/>
        <v>0</v>
      </c>
      <c r="R202" s="11">
        <f t="shared" si="50"/>
        <v>0</v>
      </c>
      <c r="S202" s="11">
        <f t="shared" si="51"/>
        <v>0</v>
      </c>
      <c r="T202" s="11">
        <f t="shared" si="52"/>
        <v>0</v>
      </c>
      <c r="U202" s="11">
        <f t="shared" si="53"/>
        <v>0</v>
      </c>
      <c r="V202" s="11">
        <f t="shared" si="54"/>
        <v>0</v>
      </c>
      <c r="W202" s="11">
        <f t="shared" si="55"/>
        <v>0</v>
      </c>
      <c r="X202" s="11">
        <f t="shared" si="56"/>
        <v>0</v>
      </c>
      <c r="Y202" s="11">
        <f t="shared" si="57"/>
        <v>0</v>
      </c>
      <c r="Z202" s="11">
        <f t="shared" si="58"/>
        <v>0</v>
      </c>
      <c r="AA202" s="11">
        <f t="shared" si="59"/>
        <v>0</v>
      </c>
      <c r="AB202" s="11">
        <f t="shared" si="60"/>
        <v>0</v>
      </c>
      <c r="AC202" s="13">
        <f t="shared" si="46"/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0</v>
      </c>
      <c r="AN202" s="14">
        <v>0</v>
      </c>
      <c r="AO202" s="14">
        <v>0</v>
      </c>
      <c r="AP202" s="13">
        <f t="shared" si="47"/>
        <v>0</v>
      </c>
      <c r="AQ202" s="16">
        <v>17808.5061</v>
      </c>
      <c r="AR202" s="16">
        <v>14517.34326</v>
      </c>
      <c r="AS202" s="16">
        <v>22490.9811</v>
      </c>
      <c r="AT202" s="16">
        <v>24027.381</v>
      </c>
      <c r="AU202" s="16">
        <v>19544.15358</v>
      </c>
      <c r="AV202" s="16">
        <v>18158.56812</v>
      </c>
      <c r="AW202" s="16">
        <v>25568.83476</v>
      </c>
      <c r="AX202" s="16">
        <v>17076.27852</v>
      </c>
      <c r="AY202" s="16">
        <v>20361.8578601</v>
      </c>
      <c r="AZ202" s="16">
        <v>32712.4166371</v>
      </c>
      <c r="BA202" s="16">
        <v>25960.3880364</v>
      </c>
      <c r="BB202" s="16">
        <v>25960.3880364</v>
      </c>
      <c r="BC202" s="13">
        <f t="shared" si="48"/>
        <v>264187.09701</v>
      </c>
    </row>
    <row r="203" spans="1:55">
      <c r="A203" s="4" t="s">
        <v>23</v>
      </c>
      <c r="B203" s="4" t="s">
        <v>409</v>
      </c>
      <c r="C203" s="4" t="s">
        <v>410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9">
        <v>0</v>
      </c>
      <c r="Q203" s="11">
        <f t="shared" si="49"/>
        <v>0</v>
      </c>
      <c r="R203" s="11">
        <f t="shared" si="50"/>
        <v>0</v>
      </c>
      <c r="S203" s="11">
        <f t="shared" si="51"/>
        <v>0</v>
      </c>
      <c r="T203" s="11">
        <f t="shared" si="52"/>
        <v>0</v>
      </c>
      <c r="U203" s="11">
        <f t="shared" si="53"/>
        <v>0</v>
      </c>
      <c r="V203" s="11">
        <f t="shared" si="54"/>
        <v>0</v>
      </c>
      <c r="W203" s="11">
        <f t="shared" si="55"/>
        <v>0</v>
      </c>
      <c r="X203" s="11">
        <f t="shared" si="56"/>
        <v>0</v>
      </c>
      <c r="Y203" s="11">
        <f t="shared" si="57"/>
        <v>0</v>
      </c>
      <c r="Z203" s="11">
        <f t="shared" si="58"/>
        <v>0</v>
      </c>
      <c r="AA203" s="11">
        <f t="shared" si="59"/>
        <v>0</v>
      </c>
      <c r="AB203" s="11">
        <f t="shared" si="60"/>
        <v>0</v>
      </c>
      <c r="AC203" s="13">
        <f t="shared" si="46"/>
        <v>0</v>
      </c>
      <c r="AD203" s="14">
        <v>0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0</v>
      </c>
      <c r="AN203" s="14">
        <v>0</v>
      </c>
      <c r="AO203" s="14">
        <v>0</v>
      </c>
      <c r="AP203" s="13">
        <f t="shared" si="47"/>
        <v>0</v>
      </c>
      <c r="AQ203" s="16">
        <v>0</v>
      </c>
      <c r="AR203" s="16">
        <v>0</v>
      </c>
      <c r="AS203" s="16">
        <v>0</v>
      </c>
      <c r="AT203" s="16">
        <v>0</v>
      </c>
      <c r="AU203" s="16">
        <v>0</v>
      </c>
      <c r="AV203" s="16">
        <v>0</v>
      </c>
      <c r="AW203" s="16">
        <v>0</v>
      </c>
      <c r="AX203" s="16">
        <v>0</v>
      </c>
      <c r="AY203" s="16">
        <v>0</v>
      </c>
      <c r="AZ203" s="16">
        <v>0</v>
      </c>
      <c r="BA203" s="16">
        <v>0</v>
      </c>
      <c r="BB203" s="16">
        <v>0</v>
      </c>
      <c r="BC203" s="13">
        <f t="shared" si="48"/>
        <v>0</v>
      </c>
    </row>
    <row r="204" spans="1:55">
      <c r="A204" s="4" t="s">
        <v>23</v>
      </c>
      <c r="B204" s="4" t="s">
        <v>411</v>
      </c>
      <c r="C204" s="4" t="s">
        <v>412</v>
      </c>
      <c r="D204" s="6">
        <v>0</v>
      </c>
      <c r="E204" s="6">
        <v>0</v>
      </c>
      <c r="F204" s="6">
        <v>0</v>
      </c>
      <c r="G204" s="6">
        <v>9066.9726</v>
      </c>
      <c r="H204" s="6">
        <v>7665.887304</v>
      </c>
      <c r="I204" s="6">
        <v>5998.232376</v>
      </c>
      <c r="J204" s="6">
        <v>8887.650984</v>
      </c>
      <c r="K204" s="6">
        <v>7310.476584</v>
      </c>
      <c r="L204" s="6">
        <v>7433.0881911</v>
      </c>
      <c r="M204" s="6">
        <v>11941.6548077</v>
      </c>
      <c r="N204" s="6">
        <v>9476.8294267</v>
      </c>
      <c r="O204" s="6">
        <v>9476.8294267</v>
      </c>
      <c r="P204" s="9">
        <v>77257.6217002</v>
      </c>
      <c r="Q204" s="11">
        <f t="shared" si="49"/>
        <v>0</v>
      </c>
      <c r="R204" s="11">
        <f t="shared" si="50"/>
        <v>0</v>
      </c>
      <c r="S204" s="11">
        <f t="shared" si="51"/>
        <v>0</v>
      </c>
      <c r="T204" s="11">
        <f t="shared" si="52"/>
        <v>9066.9726</v>
      </c>
      <c r="U204" s="11">
        <f t="shared" si="53"/>
        <v>7665.887304</v>
      </c>
      <c r="V204" s="11">
        <f t="shared" si="54"/>
        <v>5998.232376</v>
      </c>
      <c r="W204" s="11">
        <f t="shared" si="55"/>
        <v>8887.650984</v>
      </c>
      <c r="X204" s="11">
        <f t="shared" si="56"/>
        <v>7310.476584</v>
      </c>
      <c r="Y204" s="11">
        <f t="shared" si="57"/>
        <v>7433.0881911</v>
      </c>
      <c r="Z204" s="11">
        <f t="shared" si="58"/>
        <v>11941.6548077</v>
      </c>
      <c r="AA204" s="11">
        <f t="shared" si="59"/>
        <v>9476.8294267</v>
      </c>
      <c r="AB204" s="11">
        <f t="shared" si="60"/>
        <v>9476.8294267</v>
      </c>
      <c r="AC204" s="13">
        <f t="shared" si="46"/>
        <v>77257.6217002</v>
      </c>
      <c r="AD204" s="14">
        <v>0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  <c r="AN204" s="14">
        <v>0</v>
      </c>
      <c r="AO204" s="14">
        <v>0</v>
      </c>
      <c r="AP204" s="13">
        <f t="shared" si="47"/>
        <v>0</v>
      </c>
      <c r="AQ204" s="16">
        <v>0</v>
      </c>
      <c r="AR204" s="16">
        <v>0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3">
        <f t="shared" si="48"/>
        <v>0</v>
      </c>
    </row>
    <row r="205" spans="1:55">
      <c r="A205" s="4" t="s">
        <v>23</v>
      </c>
      <c r="B205" s="4" t="s">
        <v>413</v>
      </c>
      <c r="C205" s="4" t="s">
        <v>414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8025.58944</v>
      </c>
      <c r="K205" s="6">
        <v>3612.48624</v>
      </c>
      <c r="L205" s="6">
        <v>5543.1182809</v>
      </c>
      <c r="M205" s="6">
        <v>8905.3167898</v>
      </c>
      <c r="N205" s="6">
        <v>7067.2088221</v>
      </c>
      <c r="O205" s="6">
        <v>7067.2088221</v>
      </c>
      <c r="P205" s="9">
        <v>40220.9283949</v>
      </c>
      <c r="Q205" s="11">
        <f t="shared" si="49"/>
        <v>0</v>
      </c>
      <c r="R205" s="11">
        <f t="shared" si="50"/>
        <v>0</v>
      </c>
      <c r="S205" s="11">
        <f t="shared" si="51"/>
        <v>0</v>
      </c>
      <c r="T205" s="11">
        <f t="shared" si="52"/>
        <v>0</v>
      </c>
      <c r="U205" s="11">
        <f t="shared" si="53"/>
        <v>0</v>
      </c>
      <c r="V205" s="11">
        <f t="shared" si="54"/>
        <v>0</v>
      </c>
      <c r="W205" s="11">
        <f t="shared" si="55"/>
        <v>0</v>
      </c>
      <c r="X205" s="11">
        <f t="shared" si="56"/>
        <v>0</v>
      </c>
      <c r="Y205" s="11">
        <f t="shared" si="57"/>
        <v>0</v>
      </c>
      <c r="Z205" s="11">
        <f t="shared" si="58"/>
        <v>0</v>
      </c>
      <c r="AA205" s="11">
        <f t="shared" si="59"/>
        <v>0</v>
      </c>
      <c r="AB205" s="11">
        <f t="shared" si="60"/>
        <v>0</v>
      </c>
      <c r="AC205" s="13">
        <f t="shared" si="46"/>
        <v>0</v>
      </c>
      <c r="AD205" s="14">
        <v>0</v>
      </c>
      <c r="AE205" s="14">
        <v>0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0</v>
      </c>
      <c r="AN205" s="14">
        <v>0</v>
      </c>
      <c r="AO205" s="14">
        <v>0</v>
      </c>
      <c r="AP205" s="13">
        <f t="shared" si="47"/>
        <v>0</v>
      </c>
      <c r="AQ205" s="16">
        <v>0</v>
      </c>
      <c r="AR205" s="16">
        <v>0</v>
      </c>
      <c r="AS205" s="16">
        <v>0</v>
      </c>
      <c r="AT205" s="16">
        <v>0</v>
      </c>
      <c r="AU205" s="16">
        <v>0</v>
      </c>
      <c r="AV205" s="16">
        <v>0</v>
      </c>
      <c r="AW205" s="16">
        <v>8025.58944</v>
      </c>
      <c r="AX205" s="16">
        <v>3612.48624</v>
      </c>
      <c r="AY205" s="16">
        <v>5543.1182809</v>
      </c>
      <c r="AZ205" s="16">
        <v>8905.3167898</v>
      </c>
      <c r="BA205" s="16">
        <v>7067.2088221</v>
      </c>
      <c r="BB205" s="16">
        <v>7067.2088221</v>
      </c>
      <c r="BC205" s="13">
        <f t="shared" si="48"/>
        <v>40220.9283949</v>
      </c>
    </row>
    <row r="206" spans="1:55">
      <c r="A206" s="4" t="s">
        <v>23</v>
      </c>
      <c r="B206" s="4" t="s">
        <v>415</v>
      </c>
      <c r="C206" s="4" t="s">
        <v>416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7000</v>
      </c>
      <c r="K206" s="6">
        <v>10000</v>
      </c>
      <c r="L206" s="6">
        <v>12000</v>
      </c>
      <c r="M206" s="6">
        <v>15000</v>
      </c>
      <c r="N206" s="6">
        <v>15000</v>
      </c>
      <c r="O206" s="6">
        <v>15000</v>
      </c>
      <c r="P206" s="9">
        <v>74000</v>
      </c>
      <c r="Q206" s="11">
        <f t="shared" si="49"/>
        <v>0</v>
      </c>
      <c r="R206" s="11">
        <f t="shared" si="50"/>
        <v>0</v>
      </c>
      <c r="S206" s="11">
        <f t="shared" si="51"/>
        <v>0</v>
      </c>
      <c r="T206" s="11">
        <f t="shared" si="52"/>
        <v>0</v>
      </c>
      <c r="U206" s="11">
        <f t="shared" si="53"/>
        <v>0</v>
      </c>
      <c r="V206" s="11">
        <f t="shared" si="54"/>
        <v>0</v>
      </c>
      <c r="W206" s="11">
        <f t="shared" si="55"/>
        <v>0</v>
      </c>
      <c r="X206" s="11">
        <f t="shared" si="56"/>
        <v>0</v>
      </c>
      <c r="Y206" s="11">
        <f t="shared" si="57"/>
        <v>0</v>
      </c>
      <c r="Z206" s="11">
        <f t="shared" si="58"/>
        <v>0</v>
      </c>
      <c r="AA206" s="11">
        <f t="shared" si="59"/>
        <v>0</v>
      </c>
      <c r="AB206" s="11">
        <f t="shared" si="60"/>
        <v>0</v>
      </c>
      <c r="AC206" s="13">
        <f t="shared" si="46"/>
        <v>0</v>
      </c>
      <c r="AD206" s="14">
        <v>0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0</v>
      </c>
      <c r="AN206" s="14">
        <v>0</v>
      </c>
      <c r="AO206" s="14">
        <v>0</v>
      </c>
      <c r="AP206" s="13">
        <f t="shared" si="47"/>
        <v>0</v>
      </c>
      <c r="AQ206" s="16">
        <v>0</v>
      </c>
      <c r="AR206" s="16">
        <v>0</v>
      </c>
      <c r="AS206" s="16">
        <v>0</v>
      </c>
      <c r="AT206" s="16">
        <v>0</v>
      </c>
      <c r="AU206" s="16">
        <v>0</v>
      </c>
      <c r="AV206" s="16">
        <v>0</v>
      </c>
      <c r="AW206" s="16">
        <v>7000</v>
      </c>
      <c r="AX206" s="16">
        <v>10000</v>
      </c>
      <c r="AY206" s="16">
        <v>12000</v>
      </c>
      <c r="AZ206" s="16">
        <v>15000</v>
      </c>
      <c r="BA206" s="16">
        <v>15000</v>
      </c>
      <c r="BB206" s="16">
        <v>15000</v>
      </c>
      <c r="BC206" s="13">
        <f t="shared" si="48"/>
        <v>74000</v>
      </c>
    </row>
    <row r="207" spans="1:55">
      <c r="A207" s="4" t="s">
        <v>23</v>
      </c>
      <c r="B207" s="4" t="s">
        <v>417</v>
      </c>
      <c r="C207" s="4" t="s">
        <v>418</v>
      </c>
      <c r="D207" s="6">
        <v>0</v>
      </c>
      <c r="E207" s="6">
        <v>0</v>
      </c>
      <c r="F207" s="6">
        <v>0</v>
      </c>
      <c r="G207" s="6">
        <v>0</v>
      </c>
      <c r="H207" s="6">
        <v>3000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3000</v>
      </c>
      <c r="O207" s="6">
        <v>0</v>
      </c>
      <c r="P207" s="9">
        <v>6000</v>
      </c>
      <c r="Q207" s="11">
        <f t="shared" si="49"/>
        <v>0</v>
      </c>
      <c r="R207" s="11">
        <f t="shared" si="50"/>
        <v>0</v>
      </c>
      <c r="S207" s="11">
        <f t="shared" si="51"/>
        <v>0</v>
      </c>
      <c r="T207" s="11">
        <f t="shared" si="52"/>
        <v>0</v>
      </c>
      <c r="U207" s="11">
        <f t="shared" si="53"/>
        <v>3000</v>
      </c>
      <c r="V207" s="11">
        <f t="shared" si="54"/>
        <v>0</v>
      </c>
      <c r="W207" s="11">
        <f t="shared" si="55"/>
        <v>0</v>
      </c>
      <c r="X207" s="11">
        <f t="shared" si="56"/>
        <v>0</v>
      </c>
      <c r="Y207" s="11">
        <f t="shared" si="57"/>
        <v>0</v>
      </c>
      <c r="Z207" s="11">
        <f t="shared" si="58"/>
        <v>0</v>
      </c>
      <c r="AA207" s="11">
        <f t="shared" si="59"/>
        <v>3000</v>
      </c>
      <c r="AB207" s="11">
        <f t="shared" si="60"/>
        <v>0</v>
      </c>
      <c r="AC207" s="13">
        <f t="shared" si="46"/>
        <v>6000</v>
      </c>
      <c r="AD207" s="14">
        <v>0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0</v>
      </c>
      <c r="AN207" s="14">
        <v>0</v>
      </c>
      <c r="AO207" s="14">
        <v>0</v>
      </c>
      <c r="AP207" s="13">
        <f t="shared" si="47"/>
        <v>0</v>
      </c>
      <c r="AQ207" s="16">
        <v>0</v>
      </c>
      <c r="AR207" s="16">
        <v>0</v>
      </c>
      <c r="AS207" s="16">
        <v>0</v>
      </c>
      <c r="AT207" s="16">
        <v>0</v>
      </c>
      <c r="AU207" s="16">
        <v>0</v>
      </c>
      <c r="AV207" s="16">
        <v>0</v>
      </c>
      <c r="AW207" s="16">
        <v>0</v>
      </c>
      <c r="AX207" s="16">
        <v>0</v>
      </c>
      <c r="AY207" s="16">
        <v>0</v>
      </c>
      <c r="AZ207" s="16">
        <v>0</v>
      </c>
      <c r="BA207" s="16">
        <v>0</v>
      </c>
      <c r="BB207" s="16">
        <v>0</v>
      </c>
      <c r="BC207" s="13">
        <f t="shared" si="48"/>
        <v>0</v>
      </c>
    </row>
    <row r="208" spans="1:55">
      <c r="A208" s="4" t="s">
        <v>23</v>
      </c>
      <c r="B208" s="4" t="s">
        <v>419</v>
      </c>
      <c r="C208" s="4" t="s">
        <v>420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3000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9">
        <v>3000</v>
      </c>
      <c r="Q208" s="11">
        <f t="shared" si="49"/>
        <v>0</v>
      </c>
      <c r="R208" s="11">
        <f t="shared" si="50"/>
        <v>0</v>
      </c>
      <c r="S208" s="11">
        <f t="shared" si="51"/>
        <v>0</v>
      </c>
      <c r="T208" s="11">
        <f t="shared" si="52"/>
        <v>0</v>
      </c>
      <c r="U208" s="11">
        <f t="shared" si="53"/>
        <v>0</v>
      </c>
      <c r="V208" s="11">
        <f t="shared" si="54"/>
        <v>3000</v>
      </c>
      <c r="W208" s="11">
        <f t="shared" si="55"/>
        <v>0</v>
      </c>
      <c r="X208" s="11">
        <f t="shared" si="56"/>
        <v>0</v>
      </c>
      <c r="Y208" s="11">
        <f t="shared" si="57"/>
        <v>0</v>
      </c>
      <c r="Z208" s="11">
        <f t="shared" si="58"/>
        <v>0</v>
      </c>
      <c r="AA208" s="11">
        <f t="shared" si="59"/>
        <v>0</v>
      </c>
      <c r="AB208" s="11">
        <f t="shared" si="60"/>
        <v>0</v>
      </c>
      <c r="AC208" s="13">
        <f t="shared" si="46"/>
        <v>3000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3">
        <f t="shared" si="47"/>
        <v>0</v>
      </c>
      <c r="AQ208" s="16">
        <v>0</v>
      </c>
      <c r="AR208" s="16">
        <v>0</v>
      </c>
      <c r="AS208" s="16">
        <v>0</v>
      </c>
      <c r="AT208" s="16">
        <v>0</v>
      </c>
      <c r="AU208" s="16">
        <v>0</v>
      </c>
      <c r="AV208" s="16">
        <v>0</v>
      </c>
      <c r="AW208" s="16">
        <v>0</v>
      </c>
      <c r="AX208" s="16">
        <v>0</v>
      </c>
      <c r="AY208" s="16">
        <v>0</v>
      </c>
      <c r="AZ208" s="16">
        <v>0</v>
      </c>
      <c r="BA208" s="16">
        <v>0</v>
      </c>
      <c r="BB208" s="16">
        <v>0</v>
      </c>
      <c r="BC208" s="13">
        <f t="shared" si="48"/>
        <v>0</v>
      </c>
    </row>
    <row r="209" spans="1:55">
      <c r="A209" s="4" t="s">
        <v>23</v>
      </c>
      <c r="B209" s="4" t="s">
        <v>421</v>
      </c>
      <c r="C209" s="4" t="s">
        <v>422</v>
      </c>
      <c r="D209" s="6">
        <v>0</v>
      </c>
      <c r="E209" s="6">
        <v>0</v>
      </c>
      <c r="F209" s="6">
        <v>0</v>
      </c>
      <c r="G209" s="6">
        <v>0</v>
      </c>
      <c r="H209" s="6">
        <v>3000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9">
        <v>3000</v>
      </c>
      <c r="Q209" s="11">
        <f t="shared" si="49"/>
        <v>0</v>
      </c>
      <c r="R209" s="11">
        <f t="shared" si="50"/>
        <v>0</v>
      </c>
      <c r="S209" s="11">
        <f t="shared" si="51"/>
        <v>0</v>
      </c>
      <c r="T209" s="11">
        <f t="shared" si="52"/>
        <v>0</v>
      </c>
      <c r="U209" s="11">
        <f t="shared" si="53"/>
        <v>3000</v>
      </c>
      <c r="V209" s="11">
        <f t="shared" si="54"/>
        <v>0</v>
      </c>
      <c r="W209" s="11">
        <f t="shared" si="55"/>
        <v>0</v>
      </c>
      <c r="X209" s="11">
        <f t="shared" si="56"/>
        <v>0</v>
      </c>
      <c r="Y209" s="11">
        <f t="shared" si="57"/>
        <v>0</v>
      </c>
      <c r="Z209" s="11">
        <f t="shared" si="58"/>
        <v>0</v>
      </c>
      <c r="AA209" s="11">
        <f t="shared" si="59"/>
        <v>0</v>
      </c>
      <c r="AB209" s="11">
        <f t="shared" si="60"/>
        <v>0</v>
      </c>
      <c r="AC209" s="13">
        <f t="shared" si="46"/>
        <v>3000</v>
      </c>
      <c r="AD209" s="14">
        <v>0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0</v>
      </c>
      <c r="AN209" s="14">
        <v>0</v>
      </c>
      <c r="AO209" s="14">
        <v>0</v>
      </c>
      <c r="AP209" s="13">
        <f t="shared" si="47"/>
        <v>0</v>
      </c>
      <c r="AQ209" s="16">
        <v>0</v>
      </c>
      <c r="AR209" s="16">
        <v>0</v>
      </c>
      <c r="AS209" s="16">
        <v>0</v>
      </c>
      <c r="AT209" s="16">
        <v>0</v>
      </c>
      <c r="AU209" s="16">
        <v>0</v>
      </c>
      <c r="AV209" s="16">
        <v>0</v>
      </c>
      <c r="AW209" s="16">
        <v>0</v>
      </c>
      <c r="AX209" s="16">
        <v>0</v>
      </c>
      <c r="AY209" s="16">
        <v>0</v>
      </c>
      <c r="AZ209" s="16">
        <v>0</v>
      </c>
      <c r="BA209" s="16">
        <v>0</v>
      </c>
      <c r="BB209" s="16">
        <v>0</v>
      </c>
      <c r="BC209" s="13">
        <f t="shared" si="48"/>
        <v>0</v>
      </c>
    </row>
    <row r="211" spans="16:55">
      <c r="P211" s="1">
        <f>SUM(P3:P209)</f>
        <v>41907128.3448439</v>
      </c>
      <c r="AC211" s="1">
        <f>SUM(AC3:AC209)</f>
        <v>9874620.8038365</v>
      </c>
      <c r="AP211" s="1">
        <f>SUM(AP3:AP209)</f>
        <v>2610086.1329941</v>
      </c>
      <c r="BC211" s="1">
        <f>SUM(BC3:BC209)</f>
        <v>29422421.4080133</v>
      </c>
    </row>
    <row r="212" spans="15:17">
      <c r="O212" s="1" t="s">
        <v>423</v>
      </c>
      <c r="P212" s="1">
        <f>+BC211</f>
        <v>29422421.4080133</v>
      </c>
      <c r="Q212" s="1">
        <f>+P212/P211%</f>
        <v>70.2086317294354</v>
      </c>
    </row>
    <row r="213" spans="15:17">
      <c r="O213" s="1" t="s">
        <v>424</v>
      </c>
      <c r="P213" s="1">
        <f>+AP211</f>
        <v>2610086.1329941</v>
      </c>
      <c r="Q213" s="1">
        <f>+P213/P211%</f>
        <v>6.22826291392795</v>
      </c>
    </row>
    <row r="214" spans="15:17">
      <c r="O214" s="1" t="s">
        <v>425</v>
      </c>
      <c r="P214" s="1">
        <f>+AC211</f>
        <v>9874620.8038365</v>
      </c>
      <c r="Q214" s="1">
        <f>+P214/P211%</f>
        <v>23.5631053566366</v>
      </c>
    </row>
    <row r="216" spans="15:17">
      <c r="O216" s="1" t="s">
        <v>426</v>
      </c>
      <c r="P216" s="1">
        <f>+P211-P212-P213-P214</f>
        <v>0</v>
      </c>
      <c r="Q216" s="1">
        <f>+Q212+Q213+Q214</f>
        <v>100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D1:P1"/>
    <mergeCell ref="Q1:AC1"/>
    <mergeCell ref="AD1:AP1"/>
    <mergeCell ref="AQ1:BC1"/>
  </mergeCells>
  <pageMargins left="0.699305555555556" right="0.699305555555556" top="0.75" bottom="0.75" header="0.3" footer="0.3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zenio.yulandanu</cp:lastModifiedBy>
  <dcterms:created xsi:type="dcterms:W3CDTF">2025-10-07T13:54:00Z</dcterms:created>
  <dcterms:modified xsi:type="dcterms:W3CDTF">2025-10-07T09:57:15Z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